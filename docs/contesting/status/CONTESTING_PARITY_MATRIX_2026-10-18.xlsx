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91153a70b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74054cafcf45bc"/>
    <x:sheet xmlns:r="http://schemas.openxmlformats.org/officeDocument/2006/relationships" name="94ContestMatrix" sheetId="2" r:id="Re8bf19cd5d3a4a33"/>
    <x:sheet xmlns:r="http://schemas.openxmlformats.org/officeDocument/2006/relationships" name="33FeatureMatrix" sheetId="3" r:id="Rc749cf740470443a"/>
    <x:sheet xmlns:r="http://schemas.openxmlformats.org/officeDocument/2006/relationships" name="Validation" sheetId="4" r:id="Rd0b741212f024f82"/>
    <x:sheet xmlns:r="http://schemas.openxmlformats.org/officeDocument/2006/relationships" name="NextSteps" sheetId="5" r:id="Ra7812049be3e4dbe"/>
    <x:sheet xmlns:r="http://schemas.openxmlformats.org/officeDocument/2006/relationships" name="Evidence" sheetId="6" r:id="Rc817c087697b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8283B"/>
      <x:name val="Arial"/>
    </x:font>
    <x:font>
      <x:b/>
      <x:sz val="16"/>
      <x:color rgb="FF18283B"/>
      <x:name val="Arial"/>
    </x:font>
    <x:font>
      <x:i/>
      <x:sz val="10"/>
      <x:color rgb="FF596B7B"/>
      <x:name val="Arial"/>
    </x:font>
    <x:font>
      <x:b/>
      <x:sz val="10"/>
      <x:color rgb="FFFFFFFF"/>
      <x:name val="Arial"/>
    </x:font>
    <x:font>
      <x:u val="single"/>
      <x:sz val="10"/>
      <x:color rgb="FF1D5D98"/>
      <x:name val="Arial"/>
    </x:font>
    <x:font>
      <x:b/>
      <x:sz val="10"/>
      <x:color rgb="FF18283B"/>
      <x:name val="Arial"/>
    </x:font>
    <x:font>
      <x:b/>
      <x:sz val="12"/>
      <x:color rgb="FF18283B"/>
      <x:name val="Arial"/>
    </x:font>
    <x:font>
      <x:b/>
      <x:sz val="14"/>
      <x:color rgb="FF1828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C5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DF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color rgb="FF795600"/>
      </x:font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  <x:dxf>
      <x:fill>
        <x:patternFill patternType="solid">
          <x:bgColor rgb="FFFFF1D1"/>
        </x:patternFill>
      </x:fill>
    </x:dxf>
    <x:dxf>
      <x:font>
        <x:color rgb="FF9B2C23"/>
      </x:font>
      <x:fill>
        <x:patternFill patternType="solid">
          <x:bgColor rgb="FFFBE6E4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  <x:dxf>
      <x:font>
        <x:color rgb="FF795600"/>
      </x:font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  <x:dxf>
      <x:fill>
        <x:patternFill patternType="solid">
          <x:bgColor rgb="FFFFF1D1"/>
        </x:patternFill>
      </x:fill>
    </x:dxf>
    <x:dxf>
      <x:font>
        <x:color rgb="FF9B2C23"/>
      </x:font>
      <x:fill>
        <x:patternFill patternType="solid">
          <x:bgColor rgb="FFFBE6E4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  <x:dxf>
      <x:font>
        <x:color rgb="FF795600"/>
      </x:font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  <x:dxf>
      <x:fill>
        <x:patternFill patternType="solid">
          <x:bgColor rgb="FFFFF1D1"/>
        </x:patternFill>
      </x:fill>
    </x:dxf>
    <x:dxf>
      <x:font>
        <x:color rgb="FF9B2C23"/>
      </x:font>
      <x:fill>
        <x:patternFill patternType="solid">
          <x:bgColor rgb="FFFBE6E4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EA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417eedb9542ed" /><Relationship Type="http://schemas.openxmlformats.org/officeDocument/2006/relationships/theme" Target="/xl/theme/theme1.xml" Id="Rcc59f8e6d58c440a" /><Relationship Type="http://schemas.openxmlformats.org/officeDocument/2006/relationships/sharedStrings" Target="/xl/sharedStrings.xml" Id="R6f97f1444e38472c" /><Relationship Type="http://schemas.openxmlformats.org/officeDocument/2006/relationships/worksheet" Target="/xl/worksheets/sheet1.xml" Id="Ra674054cafcf45bc" /><Relationship Type="http://schemas.openxmlformats.org/officeDocument/2006/relationships/worksheet" Target="/xl/worksheets/sheet2.xml" Id="Re8bf19cd5d3a4a33" /><Relationship Type="http://schemas.openxmlformats.org/officeDocument/2006/relationships/worksheet" Target="/xl/worksheets/sheet3.xml" Id="Rc749cf740470443a" /><Relationship Type="http://schemas.openxmlformats.org/officeDocument/2006/relationships/worksheet" Target="/xl/worksheets/sheet4.xml" Id="Rd0b741212f024f82" /><Relationship Type="http://schemas.openxmlformats.org/officeDocument/2006/relationships/worksheet" Target="/xl/worksheets/sheet5.xml" Id="Ra7812049be3e4dbe" /><Relationship Type="http://schemas.openxmlformats.org/officeDocument/2006/relationships/worksheet" Target="/xl/worksheets/sheet6.xml" Id="Rc817c087697b4550" /></Relationships>
</file>

<file path=xl/tables/table1.xml><?xml version="1.0" encoding="utf-8"?>
<x:table xmlns:x="http://schemas.openxmlformats.org/spreadsheetml/2006/main" id="1" name="ContestMatrix" displayName="ContestMatrix" ref="A5:Q99" headerRowCount="1" totalsRowCount="0" totalsRowShown="0">
  <x:autoFilter ref="A5:Q99"/>
  <x:tableColumns count="17">
    <x:tableColumn id="1" name="#"/>
    <x:tableColumn id="2" name="Plugin ID"/>
    <x:tableColumn id="3" name="Source contest name"/>
    <x:tableColumn id="4" name="Source mode"/>
    <x:tableColumn id="5" name="Source exchange hint"/>
    <x:tableColumn id="6" name="Source duplicate policy"/>
    <x:tableColumn id="7" name="Activation"/>
    <x:tableColumn id="8" name="Disposition / authority"/>
    <x:tableColumn id="9" name="Implemented layers"/>
    <x:tableColumn id="10" name="Score evidence"/>
    <x:tableColumn id="11" name="Mutation / output evidence"/>
    <x:tableColumn id="12" name="Operator acceptance"/>
    <x:tableColumn id="13" name="Limits and next step"/>
    <x:tableColumn id="14" name="Rule evidence"/>
    <x:tableColumn id="15" name="Acceptance evidence"/>
    <x:tableColumn id="16" name="Pinned Python source"/>
    <x:tableColumn id="17" name="Source SHA-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Matrix" displayName="FeatureMatrix" ref="A5:K38" headerRowCount="1" totalsRowCount="0" totalsRowShown="0">
  <x:autoFilter ref="A5:K38"/>
  <x:tableColumns count="11">
    <x:tableColumn id="1" name="ID"/>
    <x:tableColumn id="2" name="Pinned source capability / exact scope"/>
    <x:tableColumn id="3" name="Status"/>
    <x:tableColumn id="4" name="Integrated implementation"/>
    <x:tableColumn id="5" name="Validation available"/>
    <x:tableColumn id="6" name="Remaining work / next gate"/>
    <x:tableColumn id="7" name="Parity boundary"/>
    <x:tableColumn id="8" name="Planned xLog treatment"/>
    <x:tableColumn id="9" name="Required completion evidence"/>
    <x:tableColumn id="10" name="Implementation evidence"/>
    <x:tableColumn id="11" name="Related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Matrix" displayName="ValidationMatrix" ref="A5:H16" headerRowCount="1" totalsRowCount="0" totalsRowShown="0">
  <x:autoFilter ref="A5:H16"/>
  <x:tableColumns count="8">
    <x:tableColumn id="1" name="Area"/>
    <x:tableColumn id="2" name="Source"/>
    <x:tableColumn id="3" name="Platform / environment"/>
    <x:tableColumn id="4" name="Validation layer"/>
    <x:tableColumn id="5" name="Status"/>
    <x:tableColumn id="6" name="Evidence / result"/>
    <x:tableColumn id="7" name="Limit / next gate"/>
    <x:tableColumn id="8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xtStepsMatrix" displayName="NextStepsMatrix" ref="A5:F15" headerRowCount="1" totalsRowCount="0" totalsRowShown="0">
  <x:autoFilter ref="A5:F15"/>
  <x:tableColumns count="6">
    <x:tableColumn id="1" name="ID"/>
    <x:tableColumn id="2" name="Order"/>
    <x:tableColumn id="3" name="Workstream"/>
    <x:tableColumn id="4" name="Next action"/>
    <x:tableColumn id="5" name="Acceptance needed"/>
    <x:tableColumn id="6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Register" displayName="EvidenceRegister" ref="A5:G27" headerRowCount="1" totalsRowCount="0" totalsRowShown="0">
  <x:autoFilter ref="A5:G27"/>
  <x:tableColumns count="7">
    <x:tableColumn id="1" name="ID"/>
    <x:tableColumn id="2" name="Area"/>
    <x:tableColumn id="3" name="Exact source / reference"/>
    <x:tableColumn id="4" name="Source link"/>
    <x:tableColumn id="5" name="What it supports"/>
    <x:tableColumn id="6" name="Evidence boundary"/>
    <x:tableColumn id="7" name="Repository path / run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41fce199133a4b7f" /><ns0:Relationship Id="rIdReportLink3" Type="http://schemas.openxmlformats.org/officeDocument/2006/relationships/hyperlink" Target="https://github.com/oliverbross/contest-sw/blob/7c8b499225a73f7f8f792246881bd7aefc05452f/not1mm/plugins/10_10_fall_cw.py" TargetMode="External" /><ns0:Relationship Id="rIdReportLink6" Type="http://schemas.openxmlformats.org/officeDocument/2006/relationships/hyperlink" Target="https://github.com/oliverbross/contest-sw/blob/7c8b499225a73f7f8f792246881bd7aefc05452f/not1mm/plugins/10_10_spring_cw.py" TargetMode="External" /><ns0:Relationship Id="rIdReportLink9" Type="http://schemas.openxmlformats.org/officeDocument/2006/relationships/hyperlink" Target="https://github.com/oliverbross/contest-sw/blob/7c8b499225a73f7f8f792246881bd7aefc05452f/not1mm/plugins/10_10_summer_phone.py" TargetMode="External" /><ns0:Relationship Id="rIdReportLink12" Type="http://schemas.openxmlformats.org/officeDocument/2006/relationships/hyperlink" Target="https://github.com/oliverbross/contest-sw/blob/7c8b499225a73f7f8f792246881bd7aefc05452f/not1mm/plugins/10_10_winter_phone.py" TargetMode="External" /><ns0:Relationship Id="rIdReportLink15" Type="http://schemas.openxmlformats.org/officeDocument/2006/relationships/hyperlink" Target="https://github.com/oliverbross/contest-sw/blob/7c8b499225a73f7f8f792246881bd7aefc05452f/not1mm/plugins/aadx_cw.py" TargetMode="External" /><ns0:Relationship Id="rIdReportLink18" Type="http://schemas.openxmlformats.org/officeDocument/2006/relationships/hyperlink" Target="https://github.com/oliverbross/contest-sw/blob/7c8b499225a73f7f8f792246881bd7aefc05452f/not1mm/plugins/aadx_ssb.py" TargetMode="External" /><ns0:Relationship Id="rIdReportLink21" Type="http://schemas.openxmlformats.org/officeDocument/2006/relationships/hyperlink" Target="https://github.com/oliverbross/contest-sw/blob/7c8b499225a73f7f8f792246881bd7aefc05452f/not1mm/plugins/agcw_qrp.py" TargetMode="External" /><ns0:Relationship Id="rIdReportLink24" Type="http://schemas.openxmlformats.org/officeDocument/2006/relationships/hyperlink" Target="https://github.com/oliverbross/contest-sw/blob/7c8b499225a73f7f8f792246881bd7aefc05452f/not1mm/plugins/ari_40_80.py" TargetMode="External" /><ns0:Relationship Id="rIdReportLink27" Type="http://schemas.openxmlformats.org/officeDocument/2006/relationships/hyperlink" Target="https://github.com/oliverbross/contest-sw/blob/7c8b499225a73f7f8f792246881bd7aefc05452f/not1mm/plugins/ari_dx.py" TargetMode="External" /><ns0:Relationship Id="rIdReportLink30" Type="http://schemas.openxmlformats.org/officeDocument/2006/relationships/hyperlink" Target="https://github.com/oliverbross/contest-sw/blob/7c8b499225a73f7f8f792246881bd7aefc05452f/not1mm/plugins/arrl_10m.py" TargetMode="External" /><ns0:Relationship Id="rIdReportLink33" Type="http://schemas.openxmlformats.org/officeDocument/2006/relationships/hyperlink" Target="https://github.com/oliverbross/contest-sw/blob/7c8b499225a73f7f8f792246881bd7aefc05452f/not1mm/plugins/arrl_160m.py" TargetMode="External" /><ns0:Relationship Id="rIdReportLink36" Type="http://schemas.openxmlformats.org/officeDocument/2006/relationships/hyperlink" Target="https://github.com/oliverbross/contest-sw/blob/7c8b499225a73f7f8f792246881bd7aefc05452f/not1mm/plugins/arrl_dx_cw.py" TargetMode="External" /><ns0:Relationship Id="rIdReportLink39" Type="http://schemas.openxmlformats.org/officeDocument/2006/relationships/hyperlink" Target="https://github.com/oliverbross/contest-sw/blob/7c8b499225a73f7f8f792246881bd7aefc05452f/not1mm/plugins/arrl_dx_ssb.py" TargetMode="External" /><ns0:Relationship Id="rIdReportLink42" Type="http://schemas.openxmlformats.org/officeDocument/2006/relationships/hyperlink" Target="https://github.com/oliverbross/contest-sw/blob/7c8b499225a73f7f8f792246881bd7aefc05452f/not1mm/plugins/arrl_field_day.py" TargetMode="External" /><ns0:Relationship Id="rIdReportLink45" Type="http://schemas.openxmlformats.org/officeDocument/2006/relationships/hyperlink" Target="https://github.com/oliverbross/contest-sw/blob/7c8b499225a73f7f8f792246881bd7aefc05452f/not1mm/plugins/arrl_rtty_ru.py" TargetMode="External" /><ns0:Relationship Id="rIdReportLink48" Type="http://schemas.openxmlformats.org/officeDocument/2006/relationships/hyperlink" Target="https://github.com/oliverbross/contest-sw/blob/7c8b499225a73f7f8f792246881bd7aefc05452f/not1mm/plugins/arrl_ss_cw.py" TargetMode="External" /><ns0:Relationship Id="rIdReportLink51" Type="http://schemas.openxmlformats.org/officeDocument/2006/relationships/hyperlink" Target="https://github.com/oliverbross/contest-sw/blob/7c8b499225a73f7f8f792246881bd7aefc05452f/not1mm/plugins/arrl_ss_phone.py" TargetMode="External" /><ns0:Relationship Id="rIdReportLink54" Type="http://schemas.openxmlformats.org/officeDocument/2006/relationships/hyperlink" Target="https://github.com/oliverbross/contest-sw/blob/7c8b499225a73f7f8f792246881bd7aefc05452f/not1mm/plugins/arrl_vhf_jan.py" TargetMode="External" /><ns0:Relationship Id="rIdReportLink57" Type="http://schemas.openxmlformats.org/officeDocument/2006/relationships/hyperlink" Target="https://github.com/oliverbross/contest-sw/blob/7c8b499225a73f7f8f792246881bd7aefc05452f/not1mm/plugins/arrl_vhf_jun.py" TargetMode="External" /><ns0:Relationship Id="rIdReportLink60" Type="http://schemas.openxmlformats.org/officeDocument/2006/relationships/hyperlink" Target="https://github.com/oliverbross/contest-sw/blob/7c8b499225a73f7f8f792246881bd7aefc05452f/not1mm/plugins/arrl_vhf_sep.py" TargetMode="External" /><ns0:Relationship Id="rIdReportLink63" Type="http://schemas.openxmlformats.org/officeDocument/2006/relationships/hyperlink" Target="https://github.com/oliverbross/contest-sw/blob/7c8b499225a73f7f8f792246881bd7aefc05452f/not1mm/plugins/ca_qso_party.py" TargetMode="External" /><ns0:Relationship Id="rIdReportLink66" Type="http://schemas.openxmlformats.org/officeDocument/2006/relationships/hyperlink" Target="https://github.com/oliverbross/contest-sw/blob/7c8b499225a73f7f8f792246881bd7aefc05452f/not1mm/plugins/canada_day.py" TargetMode="External" /><ns0:Relationship Id="rIdReportLink69" Type="http://schemas.openxmlformats.org/officeDocument/2006/relationships/hyperlink" Target="https://github.com/oliverbross/contest-sw/blob/7c8b499225a73f7f8f792246881bd7aefc05452f/not1mm/plugins/cq_160_cw.py" TargetMode="External" /><ns0:Relationship Id="rIdReportLink72" Type="http://schemas.openxmlformats.org/officeDocument/2006/relationships/hyperlink" Target="https://github.com/oliverbross/contest-sw/blob/7c8b499225a73f7f8f792246881bd7aefc05452f/not1mm/plugins/cq_160_ssb.py" TargetMode="External" /><ns0:Relationship Id="rIdReportLink75" Type="http://schemas.openxmlformats.org/officeDocument/2006/relationships/hyperlink" Target="https://github.com/oliverbross/contest-sw/blob/7c8b499225a73f7f8f792246881bd7aefc05452f/not1mm/plugins/cq_wpx_cw.py" TargetMode="External" /><ns0:Relationship Id="rIdReportLink78" Type="http://schemas.openxmlformats.org/officeDocument/2006/relationships/hyperlink" Target="https://github.com/oliverbross/contest-sw/blob/7c8b499225a73f7f8f792246881bd7aefc05452f/not1mm/plugins/cq_wpx_rtty.py" TargetMode="External" /><ns0:Relationship Id="rIdReportLink81" Type="http://schemas.openxmlformats.org/officeDocument/2006/relationships/hyperlink" Target="https://github.com/oliverbross/contest-sw/blob/7c8b499225a73f7f8f792246881bd7aefc05452f/not1mm/plugins/cq_wpx_ssb.py" TargetMode="External" /><ns0:Relationship Id="rIdReportLink84" Type="http://schemas.openxmlformats.org/officeDocument/2006/relationships/hyperlink" Target="https://github.com/oliverbross/contest-sw/blob/7c8b499225a73f7f8f792246881bd7aefc05452f/not1mm/plugins/cq_ww_cw.py" TargetMode="External" /><ns0:Relationship Id="rIdReportLink87" Type="http://schemas.openxmlformats.org/officeDocument/2006/relationships/hyperlink" Target="https://github.com/oliverbross/contest-sw/blob/7c8b499225a73f7f8f792246881bd7aefc05452f/not1mm/plugins/cq_ww_rtty.py" TargetMode="External" /><ns0:Relationship Id="rIdReportLink90" Type="http://schemas.openxmlformats.org/officeDocument/2006/relationships/hyperlink" Target="https://github.com/oliverbross/contest-sw/blob/7c8b499225a73f7f8f792246881bd7aefc05452f/not1mm/plugins/cq_ww_ssb.py" TargetMode="External" /><ns0:Relationship Id="rIdReportLink93" Type="http://schemas.openxmlformats.org/officeDocument/2006/relationships/hyperlink" Target="https://github.com/oliverbross/contest-sw/blob/7c8b499225a73f7f8f792246881bd7aefc05452f/not1mm/plugins/cq_ww_vhf.py" TargetMode="External" /><ns0:Relationship Id="rIdReportLink96" Type="http://schemas.openxmlformats.org/officeDocument/2006/relationships/hyperlink" Target="https://github.com/oliverbross/contest-sw/blob/7c8b499225a73f7f8f792246881bd7aefc05452f/not1mm/plugins/cqws.py" TargetMode="External" /><ns0:Relationship Id="rIdReportLink99" Type="http://schemas.openxmlformats.org/officeDocument/2006/relationships/hyperlink" Target="https://github.com/oliverbross/contest-sw/blob/7c8b499225a73f7f8f792246881bd7aefc05452f/not1mm/plugins/cwo.py" TargetMode="External" /><ns0:Relationship Id="rIdReportLink102" Type="http://schemas.openxmlformats.org/officeDocument/2006/relationships/hyperlink" Target="https://github.com/oliverbross/contest-sw/blob/7c8b499225a73f7f8f792246881bd7aefc05452f/not1mm/plugins/cwt.py" TargetMode="External" /><ns0:Relationship Id="rIdReportLink105" Type="http://schemas.openxmlformats.org/officeDocument/2006/relationships/hyperlink" Target="https://github.com/oliverbross/contest-sw/blob/7c8b499225a73f7f8f792246881bd7aefc05452f/not1mm/plugins/darc_schwaben.py" TargetMode="External" /><ns0:Relationship Id="rIdReportLink108" Type="http://schemas.openxmlformats.org/officeDocument/2006/relationships/hyperlink" Target="https://github.com/oliverbross/contest-sw/blob/7c8b499225a73f7f8f792246881bd7aefc05452f/not1mm/plugins/darc_vhf.py" TargetMode="External" /><ns0:Relationship Id="rIdReportLink111" Type="http://schemas.openxmlformats.org/officeDocument/2006/relationships/hyperlink" Target="https://github.com/oliverbross/contest-sw/blob/7c8b499225a73f7f8f792246881bd7aefc05452f/not1mm/plugins/darc_xmas.py" TargetMode="External" /><ns0:Relationship Id="rIdReportLink114" Type="http://schemas.openxmlformats.org/officeDocument/2006/relationships/hyperlink" Target="https://github.com/oliverbross/contest-sw/blob/7c8b499225a73f7f8f792246881bd7aefc05452f/not1mm/plugins/dxpedition.py" TargetMode="External" /><ns0:Relationship Id="rIdReportLink117" Type="http://schemas.openxmlformats.org/officeDocument/2006/relationships/hyperlink" Target="https://github.com/oliverbross/contest-sw/blob/7c8b499225a73f7f8f792246881bd7aefc05452f/not1mm/plugins/ea_majestad_cw.py" TargetMode="External" /><ns0:Relationship Id="rIdReportLink120" Type="http://schemas.openxmlformats.org/officeDocument/2006/relationships/hyperlink" Target="https://github.com/oliverbross/contest-sw/blob/7c8b499225a73f7f8f792246881bd7aefc05452f/not1mm/plugins/ea_majestad_ssb.py" TargetMode="External" /><ns0:Relationship Id="rIdReportLink123" Type="http://schemas.openxmlformats.org/officeDocument/2006/relationships/hyperlink" Target="https://github.com/oliverbross/contest-sw/blob/7c8b499225a73f7f8f792246881bd7aefc05452f/not1mm/plugins/ea_rtty.py" TargetMode="External" /><ns0:Relationship Id="rIdReportLink126" Type="http://schemas.openxmlformats.org/officeDocument/2006/relationships/hyperlink" Target="https://github.com/oliverbross/contest-sw/blob/7c8b499225a73f7f8f792246881bd7aefc05452f/not1mm/plugins/es_field_day.py" TargetMode="External" /><ns0:Relationship Id="rIdReportLink129" Type="http://schemas.openxmlformats.org/officeDocument/2006/relationships/hyperlink" Target="https://github.com/oliverbross/contest-sw/blob/7c8b499225a73f7f8f792246881bd7aefc05452f/not1mm/plugins/es_ll_kv.py" TargetMode="External" /><ns0:Relationship Id="rIdReportLink132" Type="http://schemas.openxmlformats.org/officeDocument/2006/relationships/hyperlink" Target="https://github.com/oliverbross/contest-sw/blob/7c8b499225a73f7f8f792246881bd7aefc05452f/not1mm/plugins/es_manual_key.py" TargetMode="External" /><ns0:Relationship Id="rIdReportLink135" Type="http://schemas.openxmlformats.org/officeDocument/2006/relationships/hyperlink" Target="https://github.com/oliverbross/contest-sw/blob/7c8b499225a73f7f8f792246881bd7aefc05452f/not1mm/plugins/es_open.py" TargetMode="External" /><ns0:Relationship Id="rIdReportLink138" Type="http://schemas.openxmlformats.org/officeDocument/2006/relationships/hyperlink" Target="https://github.com/oliverbross/contest-sw/blob/7c8b499225a73f7f8f792246881bd7aefc05452f/not1mm/plugins/eudx.py" TargetMode="External" /><ns0:Relationship Id="rIdReportLink141" Type="http://schemas.openxmlformats.org/officeDocument/2006/relationships/hyperlink" Target="https://github.com/oliverbross/contest-sw/blob/7c8b499225a73f7f8f792246881bd7aefc05452f/not1mm/plugins/euhfc.py" TargetMode="External" /><ns0:Relationship Id="rIdReportLink144" Type="http://schemas.openxmlformats.org/officeDocument/2006/relationships/hyperlink" Target="https://github.com/oliverbross/contest-sw/blob/7c8b499225a73f7f8f792246881bd7aefc05452f/not1mm/plugins/general_logging.py" TargetMode="External" /><ns0:Relationship Id="rIdReportLink147" Type="http://schemas.openxmlformats.org/officeDocument/2006/relationships/hyperlink" Target="https://github.com/oliverbross/contest-sw/blob/7c8b499225a73f7f8f792246881bd7aefc05452f/not1mm/plugins/hadx.py" TargetMode="External" /><ns0:Relationship Id="rIdReportLink150" Type="http://schemas.openxmlformats.org/officeDocument/2006/relationships/hyperlink" Target="https://github.com/oliverbross/contest-sw/blob/7c8b499225a73f7f8f792246881bd7aefc05452f/not1mm/plugins/helvetia.py" TargetMode="External" /><ns0:Relationship Id="rIdReportLink153" Type="http://schemas.openxmlformats.org/officeDocument/2006/relationships/hyperlink" Target="https://github.com/oliverbross/contest-sw/blob/7c8b499225a73f7f8f792246881bd7aefc05452f/not1mm/plugins/iaru_fieldday_r1_cw.py" TargetMode="External" /><ns0:Relationship Id="rIdReportLink156" Type="http://schemas.openxmlformats.org/officeDocument/2006/relationships/hyperlink" Target="https://github.com/oliverbross/contest-sw/blob/7c8b499225a73f7f8f792246881bd7aefc05452f/not1mm/plugins/iaru_fieldday_r1_ssb.py" TargetMode="External" /><ns0:Relationship Id="rIdReportLink159" Type="http://schemas.openxmlformats.org/officeDocument/2006/relationships/hyperlink" Target="https://github.com/oliverbross/contest-sw/blob/7c8b499225a73f7f8f792246881bd7aefc05452f/not1mm/plugins/iaru_hf.py" TargetMode="External" /><ns0:Relationship Id="rIdReportLink162" Type="http://schemas.openxmlformats.org/officeDocument/2006/relationships/hyperlink" Target="https://github.com/oliverbross/contest-sw/blob/7c8b499225a73f7f8f792246881bd7aefc05452f/not1mm/plugins/icwc_mst.py" TargetMode="External" /><ns0:Relationship Id="rIdReportLink165" Type="http://schemas.openxmlformats.org/officeDocument/2006/relationships/hyperlink" Target="https://github.com/oliverbross/contest-sw/blob/7c8b499225a73f7f8f792246881bd7aefc05452f/not1mm/plugins/jidx_cw.py" TargetMode="External" /><ns0:Relationship Id="rIdReportLink168" Type="http://schemas.openxmlformats.org/officeDocument/2006/relationships/hyperlink" Target="https://github.com/oliverbross/contest-sw/blob/7c8b499225a73f7f8f792246881bd7aefc05452f/not1mm/plugins/jidx_ph.py" TargetMode="External" /><ns0:Relationship Id="rIdReportLink171" Type="http://schemas.openxmlformats.org/officeDocument/2006/relationships/hyperlink" Target="https://github.com/oliverbross/contest-sw/blob/7c8b499225a73f7f8f792246881bd7aefc05452f/not1mm/plugins/john_moyle_field_day.py" TargetMode="External" /><ns0:Relationship Id="rIdReportLink174" Type="http://schemas.openxmlformats.org/officeDocument/2006/relationships/hyperlink" Target="https://github.com/oliverbross/contest-sw/blob/7c8b499225a73f7f8f792246881bd7aefc05452f/not1mm/plugins/k1usn_sst.py" TargetMode="External" /><ns0:Relationship Id="rIdReportLink177" Type="http://schemas.openxmlformats.org/officeDocument/2006/relationships/hyperlink" Target="https://github.com/oliverbross/contest-sw/blob/7c8b499225a73f7f8f792246881bd7aefc05452f/not1mm/plugins/labre_rs_digi.py" TargetMode="External" /><ns0:Relationship Id="rIdReportLink180" Type="http://schemas.openxmlformats.org/officeDocument/2006/relationships/hyperlink" Target="https://github.com/oliverbross/contest-sw/blob/7c8b499225a73f7f8f792246881bd7aefc05452f/not1mm/plugins/lz-dx.py" TargetMode="External" /><ns0:Relationship Id="rIdReportLink183" Type="http://schemas.openxmlformats.org/officeDocument/2006/relationships/hyperlink" Target="https://github.com/oliverbross/contest-sw/blob/7c8b499225a73f7f8f792246881bd7aefc05452f/not1mm/plugins/nac_vhf.py" TargetMode="External" /><ns0:Relationship Id="rIdReportLink186" Type="http://schemas.openxmlformats.org/officeDocument/2006/relationships/hyperlink" Target="https://github.com/oliverbross/contest-sw/blob/7c8b499225a73f7f8f792246881bd7aefc05452f/not1mm/plugins/naqp_cw.py" TargetMode="External" /><ns0:Relationship Id="rIdReportLink189" Type="http://schemas.openxmlformats.org/officeDocument/2006/relationships/hyperlink" Target="https://github.com/oliverbross/contest-sw/blob/7c8b499225a73f7f8f792246881bd7aefc05452f/not1mm/plugins/naqp_rtty.py" TargetMode="External" /><ns0:Relationship Id="rIdReportLink192" Type="http://schemas.openxmlformats.org/officeDocument/2006/relationships/hyperlink" Target="https://github.com/oliverbross/contest-sw/blob/7c8b499225a73f7f8f792246881bd7aefc05452f/not1mm/plugins/naqp_ssb.py" TargetMode="External" /><ns0:Relationship Id="rIdReportLink195" Type="http://schemas.openxmlformats.org/officeDocument/2006/relationships/hyperlink" Target="https://github.com/oliverbross/contest-sw/blob/7c8b499225a73f7f8f792246881bd7aefc05452f/not1mm/plugins/oceania_dx_cw.py" TargetMode="External" /><ns0:Relationship Id="rIdReportLink198" Type="http://schemas.openxmlformats.org/officeDocument/2006/relationships/hyperlink" Target="https://github.com/oliverbross/contest-sw/blob/7c8b499225a73f7f8f792246881bd7aefc05452f/not1mm/plugins/oceania_dx_ssb.py" TargetMode="External" /><ns0:Relationship Id="rIdReportLink201" Type="http://schemas.openxmlformats.org/officeDocument/2006/relationships/hyperlink" Target="https://github.com/oliverbross/contest-sw/blob/7c8b499225a73f7f8f792246881bd7aefc05452f/not1mm/plugins/ok1wc.py" TargetMode="External" /><ns0:Relationship Id="rIdReportLink204" Type="http://schemas.openxmlformats.org/officeDocument/2006/relationships/hyperlink" Target="https://github.com/oliverbross/contest-sw/blob/7c8b499225a73f7f8f792246881bd7aefc05452f/not1mm/plugins/pacc.py" TargetMode="External" /><ns0:Relationship Id="rIdReportLink207" Type="http://schemas.openxmlformats.org/officeDocument/2006/relationships/hyperlink" Target="https://github.com/oliverbross/contest-sw/blob/7c8b499225a73f7f8f792246881bd7aefc05452f/not1mm/plugins/phone_weekly_test.py" TargetMode="External" /><ns0:Relationship Id="rIdReportLink210" Type="http://schemas.openxmlformats.org/officeDocument/2006/relationships/hyperlink" Target="https://github.com/oliverbross/contest-sw/blob/7c8b499225a73f7f8f792246881bd7aefc05452f/not1mm/plugins/qso_party_rst.py" TargetMode="External" /><ns0:Relationship Id="rIdReportLink213" Type="http://schemas.openxmlformats.org/officeDocument/2006/relationships/hyperlink" Target="https://github.com/oliverbross/contest-sw/blob/7c8b499225a73f7f8f792246881bd7aefc05452f/not1mm/plugins/qso_party_sn.py" TargetMode="External" /><ns0:Relationship Id="rIdReportLink216" Type="http://schemas.openxmlformats.org/officeDocument/2006/relationships/hyperlink" Target="https://github.com/oliverbross/contest-sw/blob/7c8b499225a73f7f8f792246881bd7aefc05452f/not1mm/plugins/raem.py" TargetMode="External" /><ns0:Relationship Id="rIdReportLink219" Type="http://schemas.openxmlformats.org/officeDocument/2006/relationships/hyperlink" Target="https://github.com/oliverbross/contest-sw/blob/7c8b499225a73f7f8f792246881bd7aefc05452f/not1mm/plugins/randomgram.py" TargetMode="External" /><ns0:Relationship Id="rIdReportLink222" Type="http://schemas.openxmlformats.org/officeDocument/2006/relationships/hyperlink" Target="https://github.com/oliverbross/contest-sw/blob/7c8b499225a73f7f8f792246881bd7aefc05452f/not1mm/plugins/rda_contest.py" TargetMode="External" /><ns0:Relationship Id="rIdReportLink225" Type="http://schemas.openxmlformats.org/officeDocument/2006/relationships/hyperlink" Target="https://github.com/oliverbross/contest-sw/blob/7c8b499225a73f7f8f792246881bd7aefc05452f/not1mm/plugins/rdxc.py" TargetMode="External" /><ns0:Relationship Id="rIdReportLink228" Type="http://schemas.openxmlformats.org/officeDocument/2006/relationships/hyperlink" Target="https://github.com/oliverbross/contest-sw/blob/7c8b499225a73f7f8f792246881bd7aefc05452f/not1mm/plugins/ref_cw.py" TargetMode="External" /><ns0:Relationship Id="rIdReportLink231" Type="http://schemas.openxmlformats.org/officeDocument/2006/relationships/hyperlink" Target="https://github.com/oliverbross/contest-sw/blob/7c8b499225a73f7f8f792246881bd7aefc05452f/not1mm/plugins/ref_ssb.py" TargetMode="External" /><ns0:Relationship Id="rIdReportLink234" Type="http://schemas.openxmlformats.org/officeDocument/2006/relationships/hyperlink" Target="https://github.com/oliverbross/contest-sw/blob/7c8b499225a73f7f8f792246881bd7aefc05452f/not1mm/plugins/rsgb_80m_cc.py" TargetMode="External" /><ns0:Relationship Id="rIdReportLink237" Type="http://schemas.openxmlformats.org/officeDocument/2006/relationships/hyperlink" Target="https://github.com/oliverbross/contest-sw/blob/7c8b499225a73f7f8f792246881bd7aefc05452f/not1mm/plugins/rsgb_commonwealth_beru.py" TargetMode="External" /><ns0:Relationship Id="rIdReportLink240" Type="http://schemas.openxmlformats.org/officeDocument/2006/relationships/hyperlink" Target="https://github.com/oliverbross/contest-sw/blob/7c8b499225a73f7f8f792246881bd7aefc05452f/not1mm/plugins/rsgb_iota.py" TargetMode="External" /><ns0:Relationship Id="rIdReportLink243" Type="http://schemas.openxmlformats.org/officeDocument/2006/relationships/hyperlink" Target="https://github.com/oliverbross/contest-sw/blob/7c8b499225a73f7f8f792246881bd7aefc05452f/not1mm/plugins/sac_cw.py" TargetMode="External" /><ns0:Relationship Id="rIdReportLink246" Type="http://schemas.openxmlformats.org/officeDocument/2006/relationships/hyperlink" Target="https://github.com/oliverbross/contest-sw/blob/7c8b499225a73f7f8f792246881bd7aefc05452f/not1mm/plugins/sac_ssb.py" TargetMode="External" /><ns0:Relationship Id="rIdReportLink249" Type="http://schemas.openxmlformats.org/officeDocument/2006/relationships/hyperlink" Target="https://github.com/oliverbross/contest-sw/blob/7c8b499225a73f7f8f792246881bd7aefc05452f/not1mm/plugins/spdx.py" TargetMode="External" /><ns0:Relationship Id="rIdReportLink252" Type="http://schemas.openxmlformats.org/officeDocument/2006/relationships/hyperlink" Target="https://github.com/oliverbross/contest-sw/blob/7c8b499225a73f7f8f792246881bd7aefc05452f/not1mm/plugins/ssa_mt_cw.py" TargetMode="External" /><ns0:Relationship Id="rIdReportLink255" Type="http://schemas.openxmlformats.org/officeDocument/2006/relationships/hyperlink" Target="https://github.com/oliverbross/contest-sw/blob/7c8b499225a73f7f8f792246881bd7aefc05452f/not1mm/plugins/ssa_mt_ssb.py" TargetMode="External" /><ns0:Relationship Id="rIdReportLink258" Type="http://schemas.openxmlformats.org/officeDocument/2006/relationships/hyperlink" Target="https://github.com/oliverbross/contest-sw/blob/7c8b499225a73f7f8f792246881bd7aefc05452f/not1mm/plugins/stew_perry_topband.py" TargetMode="External" /><ns0:Relationship Id="rIdReportLink261" Type="http://schemas.openxmlformats.org/officeDocument/2006/relationships/hyperlink" Target="https://github.com/oliverbross/contest-sw/blob/7c8b499225a73f7f8f792246881bd7aefc05452f/not1mm/plugins/ta_vhf_uhf_contest.py" TargetMode="External" /><ns0:Relationship Id="rIdReportLink264" Type="http://schemas.openxmlformats.org/officeDocument/2006/relationships/hyperlink" Target="https://github.com/oliverbross/contest-sw/blob/7c8b499225a73f7f8f792246881bd7aefc05452f/not1mm/plugins/trans_tasman.py" TargetMode="External" /><ns0:Relationship Id="rIdReportLink267" Type="http://schemas.openxmlformats.org/officeDocument/2006/relationships/hyperlink" Target="https://github.com/oliverbross/contest-sw/blob/7c8b499225a73f7f8f792246881bd7aefc05452f/not1mm/plugins/ukeidx.py" TargetMode="External" /><ns0:Relationship Id="rIdReportLink270" Type="http://schemas.openxmlformats.org/officeDocument/2006/relationships/hyperlink" Target="https://github.com/oliverbross/contest-sw/blob/7c8b499225a73f7f8f792246881bd7aefc05452f/not1mm/plugins/vhf_sprint.py" TargetMode="External" /><ns0:Relationship Id="rIdReportLink273" Type="http://schemas.openxmlformats.org/officeDocument/2006/relationships/hyperlink" Target="https://github.com/oliverbross/contest-sw/blob/7c8b499225a73f7f8f792246881bd7aefc05452f/not1mm/plugins/wag.py" TargetMode="External" /><ns0:Relationship Id="rIdReportLink276" Type="http://schemas.openxmlformats.org/officeDocument/2006/relationships/hyperlink" Target="https://github.com/oliverbross/contest-sw/blob/7c8b499225a73f7f8f792246881bd7aefc05452f/not1mm/plugins/weekly_rtty.py" TargetMode="External" /><ns0:Relationship Id="rIdReportLink279" Type="http://schemas.openxmlformats.org/officeDocument/2006/relationships/hyperlink" Target="https://github.com/oliverbross/contest-sw/blob/7c8b499225a73f7f8f792246881bd7aefc05452f/not1mm/plugins/wia_remembrance.py" TargetMode="External" /><ns0:Relationship Id="rIdReportLink282" Type="http://schemas.openxmlformats.org/officeDocument/2006/relationships/hyperlink" Target="https://github.com/oliverbross/contest-sw/blob/7c8b499225a73f7f8f792246881bd7aefc05452f/not1mm/plugins/winter_field_day.py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a3cbad022a4f41ff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20787324f05b4438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4.xml" Id="Rd541274cfc804e95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a762f0cca5b94ced" /><ns0:Relationship Id="rIdReportLink1" Type="http://schemas.openxmlformats.org/officeDocument/2006/relationships/hyperlink" Target="https://github.com/oliverbross/OM0RX-xLog/blob/3a5864e8b937625249f2ec01b4607d316ef6d3fd/docs/CONTESTING_PORT_PROJECT_PLAN_2026-10-17.md" TargetMode="External" /><ns0:Relationship Id="rIdReportLink2" Type="http://schemas.openxmlformats.org/officeDocument/2006/relationships/hyperlink" Target="https://github.com/oliverbross/OM0RX-xLog/blob/3a5864e8b937625249f2ec01b4607d316ef6d3fd/docs/contesting/contest-acceptance-ledger.json" TargetMode="External" /><ns0:Relationship Id="rIdReportLink3" Type="http://schemas.openxmlformats.org/officeDocument/2006/relationships/hyperlink" Target="https://github.com/oliverbross/OM0RX-xLog/blob/3a5864e8b937625249f2ec01b4607d316ef6d3fd/Sources/XLogPrototypeSupport/Contesting/ContestLane.swift" TargetMode="External" /><ns0:Relationship Id="rIdReportLink4" Type="http://schemas.openxmlformats.org/officeDocument/2006/relationships/hyperlink" Target="https://github.com/oliverbross/OM0RX-xLog/blob/3a5864e8b937625249f2ec01b4607d316ef6d3fd/docs/contesting/CORE_CONTRACT.md" TargetMode="External" /><ns0:Relationship Id="rIdReportLink5" Type="http://schemas.openxmlformats.org/officeDocument/2006/relationships/hyperlink" Target="https://github.com/oliverbross/OM0RX-xLog/blob/3a5864e8b937625249f2ec01b4607d316ef6d3fd/docs/contesting/OCEANIA_RULE_CONTRACT.md" TargetMode="External" /><ns0:Relationship Id="rIdReportLink6" Type="http://schemas.openxmlformats.org/officeDocument/2006/relationships/hyperlink" Target="https://github.com/oliverbross/OM0RX-xLog/blob/3a5864e8b937625249f2ec01b4607d316ef6d3fd/docs/contesting/SAC_RULE_CONTRACT.md" TargetMode="External" /><ns0:Relationship Id="rIdReportLink7" Type="http://schemas.openxmlformats.org/officeDocument/2006/relationships/hyperlink" Target="https://github.com/oliverbross/OM0RX-xLog/blob/3a5864e8b937625249f2ec01b4607d316ef6d3fd/docs/contesting/NAQP_RULE_CONTRACT.md" TargetMode="External" /><ns0:Relationship Id="rIdReportLink8" Type="http://schemas.openxmlformats.org/officeDocument/2006/relationships/hyperlink" Target="https://github.com/oliverbross/OM0RX-xLog/blob/3a5864e8b937625249f2ec01b4607d316ef6d3fd/docs/contesting/ARRL_RTTY_ROUNDUP_CONTRACT.md" TargetMode="External" /><ns0:Relationship Id="rIdReportLink9" Type="http://schemas.openxmlformats.org/officeDocument/2006/relationships/hyperlink" Target="https://github.com/oliverbross/OM0RX-xLog/blob/3a5864e8b937625249f2ec01b4607d316ef6d3fd/docs/contesting/JIDX_CONTRACT.md" TargetMode="External" /><ns0:Relationship Id="rIdReportLink10" Type="http://schemas.openxmlformats.org/officeDocument/2006/relationships/hyperlink" Target="https://github.com/oliverbross/OM0RX-xLog/blob/3a5864e8b937625249f2ec01b4607d316ef6d3fd/docs/CONTESTING_PORT_PROJECT_PLAN_2026-10-17.md" TargetMode="External" /><ns0:Relationship Id="rIdReportLink11" Type="http://schemas.openxmlformats.org/officeDocument/2006/relationships/hyperlink" Target="https://github.com/oliverbross/OM0RX-xLog/blob/3a5864e8b937625249f2ec01b4607d316ef6d3fd/docs/contesting/COMBINED_OPERATOR_ACCEPTANCE_CHECKPOINT_98db98b.md" TargetMode="External" /><ns0:Relationship Id="rIdReportLink12" Type="http://schemas.openxmlformats.org/officeDocument/2006/relationships/hyperlink" Target="https://github.com/oliverbross/OM0RX-xLog/blob/3a5864e8b937625249f2ec01b4607d316ef6d3fd/docs/contesting/SCP_WORKER_CONTRACT.md" TargetMode="External" /><ns0:Relationship Id="rIdReportLink13" Type="http://schemas.openxmlformats.org/officeDocument/2006/relationships/hyperlink" Target="https://github.com/oliverbross/OM0RX-xLog/blob/3a5864e8b937625249f2ec01b4607d316ef6d3fd/docs/contesting/SCP_LATENCY_EVIDENCE.md" TargetMode="External" /><ns0:Relationship Id="rIdReportLink14" Type="http://schemas.openxmlformats.org/officeDocument/2006/relationships/hyperlink" Target="https://github.com/oliverbross/OM0RX-xLog/blob/3a5864e8b937625249f2ec01b4607d316ef6d3fd/docs/contesting/CALL_HISTORY_CONTRACT.md" TargetMode="External" /><ns0:Relationship Id="rIdReportLink15" Type="http://schemas.openxmlformats.org/officeDocument/2006/relationships/hyperlink" Target="https://github.com/oliverbross/OM0RX-xLog/blob/3a5864e8b937625249f2ec01b4607d316ef6d3fd/docs/contesting/MODULE_SELECTION_CONTRACT.md" TargetMode="External" /><ns0:Relationship Id="rIdReportLink16" Type="http://schemas.openxmlformats.org/officeDocument/2006/relationships/hyperlink" Target="https://github.com/oliverbross/OM0RX-xLog/blob/3a5864e8b937625249f2ec01b4607d316ef6d3fd/docs/contesting/PLATFORM_VALIDATION.md" TargetMode="External" /><ns0:Relationship Id="rIdReportLink17" Type="http://schemas.openxmlformats.org/officeDocument/2006/relationships/hyperlink" Target="https://github.com/oliverbross/OM0RX-xLog/actions/runs/39075090079" TargetMode="External" /><ns0:Relationship Id="rIdReportLink18" Type="http://schemas.openxmlformats.org/officeDocument/2006/relationships/hyperlink" Target="https://github.com/oliverbross/OM0RX-xLog/actions/runs/39076611158" TargetMode="External" /><ns0:Relationship Id="rIdReportLink19" Type="http://schemas.openxmlformats.org/officeDocument/2006/relationships/hyperlink" Target="https://github.com/oliverbross/OM0RX-xLog/actions/runs/39076722839" TargetMode="External" /><ns0:Relationship Id="rIdReportLink20" Type="http://schemas.openxmlformats.org/officeDocument/2006/relationships/hyperlink" Target="https://github.com/oliverbross/OM0RX-xLog/blob/3a5864e8b937625249f2ec01b4607d316ef6d3fd/docs/contesting/OPERATOR_FLOW_CONTRACT.md" TargetMode="External" /><ns0:Relationship Id="rIdReportLink21" Type="http://schemas.openxmlformats.org/officeDocument/2006/relationships/hyperlink" Target="https://github.com/oliverbross/OM0RX-xLog/blob/3a5864e8b937625249f2ec01b4607d316ef6d3fd/docs/contesting/EXPORT_FORMAT_CONTRACT.md" TargetMode="External" /><ns0:Relationship Id="rIdReportLink22" Type="http://schemas.openxmlformats.org/officeDocument/2006/relationships/hyperlink" Target="https://github.com/oliverbross/OM0RX-xLog/blob/3a5864e8b937625249f2ec01b4607d316ef6d3fd/docs/contesting/ISOLATED_TEST_APP.md" TargetMode="External" /></ns0:Relationships>
</file>

<file path=xl/worksheets/sheet1.xml><?xml version="1.0" encoding="utf-8"?>
<worksheet xmlns="http://schemas.openxmlformats.org/spreadsheetml/2006/main">
  <sheetPr>
    <tabColor rgb="FF213C58"/>
  </sheetPr>
  <sheetViews>
    <sheetView showGridLines="0" workbookViewId="0"/>
  </sheetViews>
  <sheetFormatPr defaultRowHeight="15"/>
  <cols>
    <col min="1" max="1" width="27" hidden="0" customWidth="1"/>
    <col min="2" max="2" width="25" hidden="0" customWidth="1"/>
    <col min="3" max="3" width="56" hidden="0" customWidth="1"/>
    <col min="4" max="4" width="15" hidden="0" customWidth="1"/>
    <col min="5" max="5" width="3" hidden="0" customWidth="1"/>
    <col min="6" max="6" width="25" hidden="0" customWidth="1"/>
    <col min="7" max="7" width="34" hidden="0" customWidth="1"/>
    <col min="8" max="8" width="30" hidden="0" customWidth="1"/>
    <col min="9" max="9" width="32" hidden="0" customWidth="1"/>
    <col min="10" max="10" width="3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</row>
    <row r="2" ht="29" customHeight="1">
      <c r="A2" s="3" t="str">
        <v>OM0RX-xLog contesting status</v>
      </c>
      <c r="B2" s="2"/>
      <c r="C2" s="2"/>
      <c r="D2" s="2"/>
      <c r="E2" s="2"/>
      <c r="F2" s="2"/>
      <c r="G2" s="2"/>
      <c r="H2" s="2"/>
      <c r="I2" s="2"/>
      <c r="J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 ht="30" customHeight="1">
      <c r="A4" s="5" t="str">
        <v>As of 18/10/2026, 08:29:17 Australia/Darwin (2026-10-17T22:59:17.469Z UTC)</v>
      </c>
      <c r="B4" s="2"/>
      <c r="C4" s="2"/>
      <c r="D4" s="2"/>
      <c r="E4" s="2"/>
      <c r="F4" s="2"/>
      <c r="G4" s="2"/>
      <c r="H4" s="2"/>
      <c r="I4" s="2"/>
      <c r="J4" s="2"/>
    </row>
    <row r="5" ht="28" customHeight="1">
      <c r="A5" s="7" t="str">
        <v>Measure</v>
      </c>
      <c r="B5" s="7" t="str">
        <v>Count / status</v>
      </c>
      <c r="C5" s="7" t="str">
        <v>Meaning</v>
      </c>
      <c r="D5" s="7" t="str">
        <v>Evidence</v>
      </c>
      <c r="E5" s="2"/>
      <c r="F5" s="7" t="str">
        <v>Current state</v>
      </c>
      <c r="G5" s="7"/>
      <c r="H5" s="7"/>
      <c r="I5" s="7"/>
      <c r="J5" s="7"/>
    </row>
    <row r="6" ht="45" customHeight="1">
      <c r="A6" s="11" t="str">
        <v>Audited contest plugins</v>
      </c>
      <c r="B6" s="16" t="n">
        <f>COUNTA('94ContestMatrix'!B6:B99)</f>
        <v>94</v>
      </c>
      <c r="C6" s="11" t="str">
        <v>All selector entries from the pinned Python source.</v>
      </c>
      <c r="D6" s="12" t="str">
        <v>E02</v>
      </c>
      <c r="E6" s="2"/>
      <c r="F6" s="13" t="str">
        <v>Implemented</v>
      </c>
      <c r="G6" s="13" t="str">
        <v>Core/store reliability</v>
      </c>
      <c r="H6" s="13" t="str">
        <v>Worker/client/shared UI</v>
      </c>
      <c r="I6" s="13" t="str">
        <v>Versioned outputs</v>
      </c>
      <c r="J6" s="2"/>
    </row>
    <row r="7" ht="45" customHeight="1">
      <c r="A7" s="11" t="str">
        <v>Active catalog previews</v>
      </c>
      <c r="B7" s="16" t="n">
        <f>COUNTIF('94ContestMatrix'!G6:G99,"Active preview")</f>
        <v>16</v>
      </c>
      <c r="C7" s="11" t="str">
        <v>Six source-derived pilots and ten official-rule / corrected previews.</v>
      </c>
      <c r="D7" s="12" t="str">
        <v>E03</v>
      </c>
      <c r="E7" s="2"/>
      <c r="F7" s="11" t="str">
        <v>CQ WW/WPX</v>
      </c>
      <c r="G7" s="11" t="str">
        <v>CW + SSB pilots</v>
      </c>
      <c r="H7" s="11" t="str">
        <v>Historical clean 8-case Run/S&amp;P</v>
      </c>
      <c r="I7" s="11" t="str">
        <v>Cabrillo + ADIF</v>
      </c>
      <c r="J7" s="2"/>
    </row>
    <row r="8" ht="45" customHeight="1">
      <c r="A8" s="11" t="str">
        <v>Pending activation</v>
      </c>
      <c r="B8" s="16" t="n">
        <f>COUNTIF('94ContestMatrix'!G6:G99,"Pending activation")</f>
        <v>78</v>
      </c>
      <c r="C8" s="11" t="str">
        <v>Requires implementation and per-plugin acceptance.</v>
      </c>
      <c r="D8" s="12" t="str">
        <v>E02</v>
      </c>
      <c r="E8" s="2"/>
      <c r="F8" s="11" t="str">
        <v>Oceania / SAC</v>
      </c>
      <c r="G8" s="11" t="str">
        <v>4 previews</v>
      </c>
      <c r="H8" s="11" t="str">
        <v>Plain logging</v>
      </c>
      <c r="I8" s="11" t="str">
        <v>Source / practice outputs</v>
      </c>
      <c r="J8" s="2"/>
    </row>
    <row r="9" ht="45" customHeight="1">
      <c r="A9" s="11" t="str">
        <v>Fully ported contests claimed</v>
      </c>
      <c r="B9" s="16" t="n">
        <v>0</v>
      </c>
      <c r="C9" s="11" t="str">
        <v>All-rule, full operator, package and sponsor gates remain open.</v>
      </c>
      <c r="D9" s="12" t="str">
        <v>E01</v>
      </c>
      <c r="E9" s="2"/>
      <c r="F9" s="11" t="str">
        <v>NAQP</v>
      </c>
      <c r="G9" s="11" t="str">
        <v>3 structured previews</v>
      </c>
      <c r="H9" s="11" t="str">
        <v>Call-first duplicate repair open</v>
      </c>
      <c r="I9" s="11" t="str">
        <v>Plain-logging outputs</v>
      </c>
      <c r="J9" s="2"/>
    </row>
    <row r="10" ht="45" customHeight="1">
      <c r="A10" s="11" t="str">
        <v>Feature scope rows</v>
      </c>
      <c r="B10" s="16" t="n">
        <f>COUNTA('33FeatureMatrix'!A6:A38)</f>
        <v>33</v>
      </c>
      <c r="C10" s="11" t="str">
        <v>Every F01–F33 row has an explicit disposition.</v>
      </c>
      <c r="D10" s="12" t="str">
        <v>E01</v>
      </c>
      <c r="E10" s="2"/>
      <c r="F10" s="11" t="str">
        <v>ARRL RTTY</v>
      </c>
      <c r="G10" s="11" t="str">
        <v>1 structured preview</v>
      </c>
      <c r="H10" s="11" t="str">
        <v>W/VE vs DX serial policy</v>
      </c>
      <c r="I10" s="11" t="str">
        <v>Plain-logging outputs</v>
      </c>
      <c r="J10" s="2"/>
    </row>
    <row r="11" ht="45" customHeight="1">
      <c r="A11" s="11" t="str">
        <v>Current-source native matrix</v>
      </c>
      <c r="B11" s="11" t="str">
        <v>Pending</v>
      </c>
      <c r="C11" s="11" t="str">
        <v>Integrated source 34de529. Prior six-job pass is at e7aa2ce.</v>
      </c>
      <c r="D11" s="12" t="str">
        <v>E19</v>
      </c>
      <c r="E11" s="2"/>
      <c r="F11" s="11" t="str">
        <v>JIDX / ARRL DX</v>
      </c>
      <c r="G11" s="11" t="str">
        <v>4 directional previews</v>
      </c>
      <c r="H11" s="11" t="str">
        <v>Bounded role/mode worker tests</v>
      </c>
      <c r="I11" s="11" t="str">
        <v>Practice outputs</v>
      </c>
      <c r="J11" s="2"/>
    </row>
    <row r="12" ht="45" customHeight="1">
      <c r="A12" s="11" t="str">
        <v>Canonical integration</v>
      </c>
      <c r="B12" s="11" t="str">
        <v>Runtime hold</v>
      </c>
      <c r="C12" s="11" t="str">
        <v>Installed 1.2.18 / e741010; exclusive module contract is not implementation.</v>
      </c>
      <c r="D12" s="12" t="str">
        <v>E15</v>
      </c>
      <c r="E12" s="2"/>
      <c r="F12" s="11" t="str">
        <v>SCP</v>
      </c>
      <c r="G12" s="11" t="str">
        <v>Offline import/query/select</v>
      </c>
      <c r="H12" s="11" t="str">
        <v>Coupled historical clean proof</v>
      </c>
      <c r="I12" s="11" t="str">
        <v>Native chooser/package open</v>
      </c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8" customHeight="1">
      <c r="A15" s="7" t="str">
        <v>Priority</v>
      </c>
      <c r="B15" s="7" t="str">
        <v>Remaining gate</v>
      </c>
      <c r="C15" s="7" t="str">
        <v>Current limitation</v>
      </c>
      <c r="D15" s="7" t="str">
        <v>Evidence</v>
      </c>
      <c r="E15" s="2"/>
      <c r="F15" s="7" t="str">
        <v>Evidence distinction</v>
      </c>
      <c r="G15" s="7"/>
      <c r="H15" s="7"/>
      <c r="I15" s="7"/>
      <c r="J15" s="2"/>
    </row>
    <row r="16" ht="49" customHeight="1">
      <c r="A16" s="11" t="str">
        <v>1</v>
      </c>
      <c r="B16" s="11" t="str">
        <v>NAQP operator</v>
      </c>
      <c r="C16" s="11" t="str">
        <v>No accepted full run after blank-CQ/call-first/duplicate findings.</v>
      </c>
      <c r="D16" s="12" t="str">
        <v>E01</v>
      </c>
      <c r="E16" s="2"/>
      <c r="F16" s="11" t="str">
        <v>Source identity</v>
      </c>
      <c r="G16" s="11" t="str">
        <v>34de5291eb067aa8387a5a0032e3a038534f1ab0</v>
      </c>
      <c r="H16" s="2"/>
      <c r="I16" s="2"/>
      <c r="J16" s="2"/>
    </row>
    <row r="17" ht="49" customHeight="1">
      <c r="A17" s="11" t="str">
        <v>2</v>
      </c>
      <c r="B17" s="11" t="str">
        <v>Call-history F18</v>
      </c>
      <c r="C17" s="11" t="str">
        <v>Reviewed core/service on separate 719165a branch. Picker/worker/UI/prefill open.</v>
      </c>
      <c r="D17" s="12" t="str">
        <v>E14</v>
      </c>
      <c r="E17" s="2"/>
      <c r="F17" s="11" t="str">
        <v>Python comparator</v>
      </c>
      <c r="G17" s="11" t="str">
        <v>oliverbross/contest-sw @ 7c8b499225a73f7f8f792246881bd7aefc05452f</v>
      </c>
      <c r="H17" s="2"/>
      <c r="I17" s="2"/>
      <c r="J17" s="2"/>
    </row>
    <row r="18" ht="49" customHeight="1">
      <c r="A18" s="11" t="str">
        <v>3</v>
      </c>
      <c r="B18" s="11" t="str">
        <v>Remaining 78 plugins</v>
      </c>
      <c r="C18" s="11" t="str">
        <v>Includes digital, VHF, custom duplicate and normal-log equivalence rows.</v>
      </c>
      <c r="D18" s="12" t="str">
        <v>E02</v>
      </c>
      <c r="E18" s="2"/>
      <c r="F18" s="11" t="str">
        <v>Ledger reconciliation</v>
      </c>
      <c r="G18" s="11" t="str">
        <v>Docs 3a5864e integrates the 16-preview ledger. Product bytes remain identical to 34de529.</v>
      </c>
      <c r="H18" s="2"/>
      <c r="I18" s="2"/>
      <c r="J18" s="2"/>
    </row>
    <row r="19" ht="49" customHeight="1">
      <c r="A19" s="11" t="str">
        <v>4</v>
      </c>
      <c r="B19" s="11" t="str">
        <v>Exclusive module choice</v>
      </c>
      <c r="C19" s="11" t="str">
        <v>Await main runtime baseline; preserve both drafts and one station owner.</v>
      </c>
      <c r="D19" s="12" t="str">
        <v>E15</v>
      </c>
      <c r="E19" s="2"/>
      <c r="F19" s="11" t="str">
        <v>Operator checkpoint</v>
      </c>
      <c r="G19" s="11" t="str">
        <v>98db98b is clean historical evidence for CQ WW/WPX CW/SSB Run/S&amp;P and SCP.</v>
      </c>
      <c r="H19" s="2"/>
      <c r="I19" s="2"/>
      <c r="J19" s="2"/>
    </row>
    <row r="20" ht="49" customHeight="1">
      <c r="A20" s="11" t="str">
        <v>5</v>
      </c>
      <c r="B20" s="11" t="str">
        <v>Integrations / migration</v>
      </c>
      <c r="C20" s="11" t="str">
        <v>CW/voice/digital/CAT/network/Multi-Multi/import/EDI remain required.</v>
      </c>
      <c r="D20" s="12" t="str">
        <v>E01</v>
      </c>
      <c r="E20" s="2"/>
      <c r="F20" s="11" t="str">
        <v>Rule authority</v>
      </c>
      <c r="G20" s="11" t="str">
        <v>SAC, NAQP, ARRL RTTY, JIDX and ARRL DX use pinned official authority and record Python gaps.</v>
      </c>
      <c r="H20" s="2"/>
      <c r="I20" s="2"/>
      <c r="J20" s="2"/>
    </row>
    <row r="21" ht="49" customHeight="1">
      <c r="A21" s="11" t="str">
        <v>6</v>
      </c>
      <c r="B21" s="11" t="str">
        <v>Native packages / sponsor</v>
      </c>
      <c r="C21" s="11" t="str">
        <v>Three-OS compile/test is narrower than installed operation and submission.</v>
      </c>
      <c r="D21" s="12" t="str">
        <v>E16</v>
      </c>
      <c r="E21" s="2"/>
      <c r="F21" s="11" t="str">
        <v>Completion measure</v>
      </c>
      <c r="G21" s="11" t="str">
        <v>No overall percentage. Catalog registration, feature parity, runtime and sponsor acceptance measure different work.</v>
      </c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14" t="str">
        <v>How to read the matrices</v>
      </c>
      <c r="B24" s="2"/>
      <c r="C24" s="2"/>
      <c r="D24" s="2"/>
      <c r="E24" s="2"/>
      <c r="F24" s="2"/>
      <c r="G24" s="2"/>
      <c r="H24" s="2"/>
      <c r="I24" s="2"/>
      <c r="J24" s="2"/>
    </row>
    <row r="25" ht="40" customHeight="1">
      <c r="A25" s="11" t="str">
        <v>Active preview</v>
      </c>
      <c r="B25" s="11" t="str">
        <v>Implemented through the listed layers. Required wider gates remain open.</v>
      </c>
      <c r="C25" s="11" t="str">
        <v>Filter the contest matrix by Activation or Disposition.</v>
      </c>
      <c r="D25" s="2"/>
      <c r="E25" s="2"/>
      <c r="F25" s="2"/>
      <c r="G25" s="2"/>
      <c r="H25" s="2"/>
      <c r="I25" s="2"/>
      <c r="J25" s="2"/>
    </row>
    <row r="26" ht="40" customHeight="1">
      <c r="A26" s="11" t="str">
        <v>Partial / candidate</v>
      </c>
      <c r="B26" s="11" t="str">
        <v>A bounded layer exists, or an unintegrated candidate is being reviewed.</v>
      </c>
      <c r="C26" s="11" t="str">
        <v>Use the exact remaining work and evidence boundary.</v>
      </c>
      <c r="D26" s="2"/>
      <c r="E26" s="2"/>
      <c r="F26" s="2"/>
      <c r="G26" s="2"/>
      <c r="H26" s="2"/>
      <c r="I26" s="2"/>
      <c r="J26" s="2"/>
    </row>
    <row r="27" ht="40" customHeight="1">
      <c r="A27" s="11" t="str">
        <v>Pending / upstream limitation</v>
      </c>
      <c r="B27" s="11" t="str">
        <v>No integrated parity claim, or a source capability itself is incomplete.</v>
      </c>
      <c r="C27" s="11" t="str">
        <v>F30/F32 preserve audited upstream limitations.</v>
      </c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</sheetData>
  <hyperlinks>
    <hyperlink ref="D6" display="E02" location="'Evidence'!A7"/>
    <hyperlink ref="D7" display="E03" location="'Evidence'!A8"/>
    <hyperlink ref="D8" display="E02" location="'Evidence'!A7"/>
    <hyperlink ref="D9" display="E01" location="'Evidence'!A6"/>
    <hyperlink ref="D10" display="E01" location="'Evidence'!A6"/>
    <hyperlink ref="D11" display="E19" location="'Evidence'!A24"/>
    <hyperlink ref="D12" display="E15" location="'Evidence'!A20"/>
    <hyperlink ref="D16" display="E01" location="'Evidence'!A6"/>
    <hyperlink ref="D17" display="E14" location="'Evidence'!A19"/>
    <hyperlink ref="D18" display="E02" location="'Evidence'!A7"/>
    <hyperlink ref="D19" display="E15" location="'Evidence'!A20"/>
    <hyperlink ref="D20" display="E01" location="'Evidence'!A6"/>
    <hyperlink ref="D21" display="E16" location="'Evidence'!A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13C58"/>
  </sheetPr>
  <sheetViews>
    <sheetView showGridLines="0" workbookViewId="0">
      <pane xSplit="3" ySplit="5" topLeftCell="D6" activePane="bottomRight" state="frozen"/>
    </sheetView>
  </sheetViews>
  <sheetFormatPr defaultRowHeight="15"/>
  <cols>
    <col min="1" max="1" width="5" hidden="0" customWidth="1"/>
    <col min="2" max="2" width="25" hidden="0" customWidth="1"/>
    <col min="3" max="3" width="34" hidden="0" customWidth="1"/>
    <col min="4" max="4" width="12" hidden="0" customWidth="1"/>
    <col min="5" max="5" width="27" hidden="0" customWidth="1"/>
    <col min="6" max="6" width="23" hidden="0" customWidth="1"/>
    <col min="7" max="7" width="20" hidden="0" customWidth="1"/>
    <col min="8" max="8" width="31" hidden="0" customWidth="1"/>
    <col min="9" max="9" width="43" hidden="0" customWidth="1"/>
    <col min="10" max="10" width="39" hidden="0" customWidth="1"/>
    <col min="11" max="11" width="49" hidden="0" customWidth="1"/>
    <col min="12" max="12" width="43" hidden="0" customWidth="1"/>
    <col min="13" max="13" width="57" hidden="0" customWidth="1"/>
    <col min="14" max="14" width="15" hidden="0" customWidth="1"/>
    <col min="15" max="15" width="17" hidden="0" customWidth="1"/>
    <col min="16" max="16" width="48" hidden="0" customWidth="1"/>
    <col min="17" max="17" width="29" hidden="0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9" customHeight="1">
      <c r="A2" s="3" t="str">
        <v>94-contest implementation and parity matrix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30" customHeight="1">
      <c r="A4" s="5" t="str">
        <v>Pinned Python declarations are inventory metadata. Active preview = registry activation; no full-port or sponsor acceptance.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36" customHeight="1">
      <c r="A5" s="10" t="str">
        <v>#</v>
      </c>
      <c r="B5" s="10" t="str">
        <v>Plugin ID</v>
      </c>
      <c r="C5" s="10" t="str">
        <v>Source contest name</v>
      </c>
      <c r="D5" s="10" t="str">
        <v>Source mode</v>
      </c>
      <c r="E5" s="10" t="str">
        <v>Source exchange hint</v>
      </c>
      <c r="F5" s="10" t="str">
        <v>Source duplicate policy</v>
      </c>
      <c r="G5" s="10" t="str">
        <v>Activation</v>
      </c>
      <c r="H5" s="10" t="str">
        <v>Disposition / authority</v>
      </c>
      <c r="I5" s="10" t="str">
        <v>Implemented layers</v>
      </c>
      <c r="J5" s="10" t="str">
        <v>Score evidence</v>
      </c>
      <c r="K5" s="10" t="str">
        <v>Mutation / output evidence</v>
      </c>
      <c r="L5" s="10" t="str">
        <v>Operator acceptance</v>
      </c>
      <c r="M5" s="10" t="str">
        <v>Limits and next step</v>
      </c>
      <c r="N5" s="10" t="str">
        <v>Rule evidence</v>
      </c>
      <c r="O5" s="10" t="str">
        <v>Acceptance evidence</v>
      </c>
      <c r="P5" s="10" t="str">
        <v>Pinned Python source</v>
      </c>
      <c r="Q5" s="10" t="str">
        <v>Source SHA-256</v>
      </c>
    </row>
    <row r="6" ht="72" customHeight="1">
      <c r="A6" s="11" t="n">
        <v>1</v>
      </c>
      <c r="B6" s="11" t="str">
        <v>10_10_fall_cw</v>
      </c>
      <c r="C6" s="11" t="str">
        <v>10 10 FALL CW</v>
      </c>
      <c r="D6" s="11" t="str">
        <v>CW</v>
      </c>
      <c r="E6" s="11" t="str">
        <v>Name + 10-10# + SPC</v>
      </c>
      <c r="F6" s="11" t="str">
        <v>once-per-contest</v>
      </c>
      <c r="G6" s="11" t="str">
        <v>Pending activation</v>
      </c>
      <c r="H6" s="11" t="str">
        <v>Not implemented</v>
      </c>
      <c r="I6" s="11" t="str">
        <v>Inventory and source metadata only</v>
      </c>
      <c r="J6" s="11" t="str">
        <v>No xLog scoring acceptance</v>
      </c>
      <c r="K6" s="11" t="str">
        <v>No xLog mutation/export acceptance</v>
      </c>
      <c r="L6" s="11" t="str">
        <v>Not accepted</v>
      </c>
      <c r="M6" s="11" t="str">
        <v>Audit rule authority, implement family layers and independent mutation/export/operator cases.</v>
      </c>
      <c r="N6" s="12" t="str">
        <v>E02</v>
      </c>
      <c r="O6" s="12" t="str">
        <v>E01</v>
      </c>
      <c r="P6" s="11" t="str">
        <v>10_10_fall_cw.py at pinned source</v>
      </c>
      <c r="Q6" s="11" t="str">
        <v>c7e0c822a75ba2354d20c58269dd1e2fb8df543ec8ec66ad304915d2562f63b4</v>
      </c>
    </row>
    <row r="7" ht="72" customHeight="1">
      <c r="A7" s="11" t="n">
        <v>2</v>
      </c>
      <c r="B7" s="11" t="str">
        <v>10_10_spring_cw</v>
      </c>
      <c r="C7" s="11" t="str">
        <v>10 10 SPRING CW</v>
      </c>
      <c r="D7" s="11" t="str">
        <v>CW</v>
      </c>
      <c r="E7" s="11" t="str">
        <v>Name + 10-10# + SPC</v>
      </c>
      <c r="F7" s="11" t="str">
        <v>once-per-contest</v>
      </c>
      <c r="G7" s="11" t="str">
        <v>Pending activation</v>
      </c>
      <c r="H7" s="11" t="str">
        <v>Not implemented</v>
      </c>
      <c r="I7" s="11" t="str">
        <v>Inventory and source metadata only</v>
      </c>
      <c r="J7" s="11" t="str">
        <v>No xLog scoring acceptance</v>
      </c>
      <c r="K7" s="11" t="str">
        <v>No xLog mutation/export acceptance</v>
      </c>
      <c r="L7" s="11" t="str">
        <v>Not accepted</v>
      </c>
      <c r="M7" s="11" t="str">
        <v>Audit rule authority, implement family layers and independent mutation/export/operator cases.</v>
      </c>
      <c r="N7" s="12" t="str">
        <v>E02</v>
      </c>
      <c r="O7" s="12" t="str">
        <v>E01</v>
      </c>
      <c r="P7" s="11" t="str">
        <v>10_10_spring_cw.py at pinned source</v>
      </c>
      <c r="Q7" s="11" t="str">
        <v>a0abdb0269d9ca5938cd5784bfae8eab756369f0a2dc2c8e2c5f72c2e836fcd3</v>
      </c>
    </row>
    <row r="8" ht="72" customHeight="1">
      <c r="A8" s="11" t="n">
        <v>3</v>
      </c>
      <c r="B8" s="11" t="str">
        <v>10_10_summer_phone</v>
      </c>
      <c r="C8" s="11" t="str">
        <v>10 10 SUMMER PHONE</v>
      </c>
      <c r="D8" s="11" t="str">
        <v>SSB</v>
      </c>
      <c r="E8" s="11" t="str">
        <v>Name + 10-10# + SPC</v>
      </c>
      <c r="F8" s="11" t="str">
        <v>once-per-contest</v>
      </c>
      <c r="G8" s="11" t="str">
        <v>Pending activation</v>
      </c>
      <c r="H8" s="11" t="str">
        <v>Not implemented</v>
      </c>
      <c r="I8" s="11" t="str">
        <v>Inventory and source metadata only</v>
      </c>
      <c r="J8" s="11" t="str">
        <v>No xLog scoring acceptance</v>
      </c>
      <c r="K8" s="11" t="str">
        <v>No xLog mutation/export acceptance</v>
      </c>
      <c r="L8" s="11" t="str">
        <v>Not accepted</v>
      </c>
      <c r="M8" s="11" t="str">
        <v>Audit rule authority, implement family layers and independent mutation/export/operator cases.</v>
      </c>
      <c r="N8" s="12" t="str">
        <v>E02</v>
      </c>
      <c r="O8" s="12" t="str">
        <v>E01</v>
      </c>
      <c r="P8" s="11" t="str">
        <v>10_10_summer_phone.py at pinned source</v>
      </c>
      <c r="Q8" s="11" t="str">
        <v>a15484dc4e954bd4ca014e351d3f96c9e5a6345d158279c6b10fc31b3f5275f4</v>
      </c>
    </row>
    <row r="9" ht="72" customHeight="1">
      <c r="A9" s="11" t="n">
        <v>4</v>
      </c>
      <c r="B9" s="11" t="str">
        <v>10_10_winter_phone</v>
      </c>
      <c r="C9" s="11" t="str">
        <v>10 10 WINTER PHONE</v>
      </c>
      <c r="D9" s="11" t="str">
        <v>SSB</v>
      </c>
      <c r="E9" s="11" t="str">
        <v>Name + 10-10# + SPC</v>
      </c>
      <c r="F9" s="11" t="str">
        <v>once-per-contest</v>
      </c>
      <c r="G9" s="11" t="str">
        <v>Pending activation</v>
      </c>
      <c r="H9" s="11" t="str">
        <v>Not implemented</v>
      </c>
      <c r="I9" s="11" t="str">
        <v>Inventory and source metadata only</v>
      </c>
      <c r="J9" s="11" t="str">
        <v>No xLog scoring acceptance</v>
      </c>
      <c r="K9" s="11" t="str">
        <v>No xLog mutation/export acceptance</v>
      </c>
      <c r="L9" s="11" t="str">
        <v>Not accepted</v>
      </c>
      <c r="M9" s="11" t="str">
        <v>Audit rule authority, implement family layers and independent mutation/export/operator cases.</v>
      </c>
      <c r="N9" s="12" t="str">
        <v>E02</v>
      </c>
      <c r="O9" s="12" t="str">
        <v>E01</v>
      </c>
      <c r="P9" s="11" t="str">
        <v>10_10_winter_phone.py at pinned source</v>
      </c>
      <c r="Q9" s="11" t="str">
        <v>b07011970d2c56d2e1400c5035c78bcac4e3435fc20dcef842a547164f0660de</v>
      </c>
    </row>
    <row r="10" ht="72" customHeight="1">
      <c r="A10" s="11" t="n">
        <v>5</v>
      </c>
      <c r="B10" s="11" t="str">
        <v>aadx_cw</v>
      </c>
      <c r="C10" s="11" t="str">
        <v>AADX CW</v>
      </c>
      <c r="D10" s="11" t="str">
        <v>CW</v>
      </c>
      <c r="E10" s="11" t="str">
        <v>age (or 01)</v>
      </c>
      <c r="F10" s="11" t="str">
        <v>once-per-band</v>
      </c>
      <c r="G10" s="11" t="str">
        <v>Pending activation</v>
      </c>
      <c r="H10" s="11" t="str">
        <v>Not implemented</v>
      </c>
      <c r="I10" s="11" t="str">
        <v>Inventory and source metadata only</v>
      </c>
      <c r="J10" s="11" t="str">
        <v>No xLog scoring acceptance</v>
      </c>
      <c r="K10" s="11" t="str">
        <v>No xLog mutation/export acceptance</v>
      </c>
      <c r="L10" s="11" t="str">
        <v>Not accepted</v>
      </c>
      <c r="M10" s="11" t="str">
        <v>Audit rule authority, implement family layers and independent mutation/export/operator cases.</v>
      </c>
      <c r="N10" s="12" t="str">
        <v>E02</v>
      </c>
      <c r="O10" s="12" t="str">
        <v>E01</v>
      </c>
      <c r="P10" s="11" t="str">
        <v>aadx_cw.py at pinned source</v>
      </c>
      <c r="Q10" s="11" t="str">
        <v>491affb2e8e1a9f64984f30ca95ec8bbf4a4f89788ffdc24f116356dc84df745</v>
      </c>
    </row>
    <row r="11" ht="72" customHeight="1">
      <c r="A11" s="11" t="n">
        <v>6</v>
      </c>
      <c r="B11" s="11" t="str">
        <v>aadx_ssb</v>
      </c>
      <c r="C11" s="11" t="str">
        <v>AADX SSB</v>
      </c>
      <c r="D11" s="11" t="str">
        <v>SSB</v>
      </c>
      <c r="E11" s="11" t="str">
        <v>age (or 01)</v>
      </c>
      <c r="F11" s="11" t="str">
        <v>once-per-band</v>
      </c>
      <c r="G11" s="11" t="str">
        <v>Pending activation</v>
      </c>
      <c r="H11" s="11" t="str">
        <v>Not implemented</v>
      </c>
      <c r="I11" s="11" t="str">
        <v>Inventory and source metadata only</v>
      </c>
      <c r="J11" s="11" t="str">
        <v>No xLog scoring acceptance</v>
      </c>
      <c r="K11" s="11" t="str">
        <v>No xLog mutation/export acceptance</v>
      </c>
      <c r="L11" s="11" t="str">
        <v>Not accepted</v>
      </c>
      <c r="M11" s="11" t="str">
        <v>Audit rule authority, implement family layers and independent mutation/export/operator cases.</v>
      </c>
      <c r="N11" s="12" t="str">
        <v>E02</v>
      </c>
      <c r="O11" s="12" t="str">
        <v>E01</v>
      </c>
      <c r="P11" s="11" t="str">
        <v>aadx_ssb.py at pinned source</v>
      </c>
      <c r="Q11" s="11" t="str">
        <v>5d6d4a6a9dff5f07bb533041ba259bf901ef33a74e31f0a4091a9235333b0bdc</v>
      </c>
    </row>
    <row r="12" ht="72" customHeight="1">
      <c r="A12" s="11" t="n">
        <v>7</v>
      </c>
      <c r="B12" s="11" t="str">
        <v>agcw_qrp</v>
      </c>
      <c r="C12" s="11" t="str">
        <v>AGCW QRP</v>
      </c>
      <c r="D12" s="11" t="str">
        <v>CW</v>
      </c>
      <c r="E12" s="11" t="str">
        <v># pwr_class MemberNr</v>
      </c>
      <c r="F12" s="11" t="str">
        <v>once-per-band</v>
      </c>
      <c r="G12" s="11" t="str">
        <v>Pending activation</v>
      </c>
      <c r="H12" s="11" t="str">
        <v>Not implemented</v>
      </c>
      <c r="I12" s="11" t="str">
        <v>Inventory and source metadata only</v>
      </c>
      <c r="J12" s="11" t="str">
        <v>No xLog scoring acceptance</v>
      </c>
      <c r="K12" s="11" t="str">
        <v>No xLog mutation/export acceptance</v>
      </c>
      <c r="L12" s="11" t="str">
        <v>Not accepted</v>
      </c>
      <c r="M12" s="11" t="str">
        <v>Audit rule authority, implement family layers and independent mutation/export/operator cases.</v>
      </c>
      <c r="N12" s="12" t="str">
        <v>E02</v>
      </c>
      <c r="O12" s="12" t="str">
        <v>E01</v>
      </c>
      <c r="P12" s="11" t="str">
        <v>agcw_qrp.py at pinned source</v>
      </c>
      <c r="Q12" s="11" t="str">
        <v>fc73ecd9a4ae2252332496f410d1b7bfb770499722818ba5356a9d81784e375c</v>
      </c>
    </row>
    <row r="13" ht="72" customHeight="1">
      <c r="A13" s="11" t="n">
        <v>8</v>
      </c>
      <c r="B13" s="11" t="str">
        <v>ari_40_80</v>
      </c>
      <c r="C13" s="11" t="str">
        <v>ARI 40 80</v>
      </c>
      <c r="D13" s="11" t="str">
        <v>BOTH</v>
      </c>
      <c r="E13" s="11" t="str">
        <v>Automobile Code</v>
      </c>
      <c r="F13" s="11" t="str">
        <v>once-per-band-and-mode</v>
      </c>
      <c r="G13" s="11" t="str">
        <v>Pending activation</v>
      </c>
      <c r="H13" s="11" t="str">
        <v>Not implemented</v>
      </c>
      <c r="I13" s="11" t="str">
        <v>Inventory and source metadata only</v>
      </c>
      <c r="J13" s="11" t="str">
        <v>No xLog scoring acceptance</v>
      </c>
      <c r="K13" s="11" t="str">
        <v>No xLog mutation/export acceptance</v>
      </c>
      <c r="L13" s="11" t="str">
        <v>Not accepted</v>
      </c>
      <c r="M13" s="11" t="str">
        <v>Audit rule authority, implement family layers and independent mutation/export/operator cases.</v>
      </c>
      <c r="N13" s="12" t="str">
        <v>E02</v>
      </c>
      <c r="O13" s="12" t="str">
        <v>E01</v>
      </c>
      <c r="P13" s="11" t="str">
        <v>ari_40_80.py at pinned source</v>
      </c>
      <c r="Q13" s="11" t="str">
        <v>55f1ebfc1953a7d6fa65a3dec38adcb2e83e328921ffb07b51c83811f1afb192</v>
      </c>
    </row>
    <row r="14" ht="72" customHeight="1">
      <c r="A14" s="11" t="n">
        <v>9</v>
      </c>
      <c r="B14" s="11" t="str">
        <v>ari_dx</v>
      </c>
      <c r="C14" s="11" t="str">
        <v>ARI International DX</v>
      </c>
      <c r="D14" s="11" t="str">
        <v>BOTH</v>
      </c>
      <c r="E14" s="11" t="str">
        <v>Prov or '#'</v>
      </c>
      <c r="F14" s="11" t="str">
        <v>once-per-band-and-mode</v>
      </c>
      <c r="G14" s="11" t="str">
        <v>Pending activation</v>
      </c>
      <c r="H14" s="11" t="str">
        <v>Not implemented</v>
      </c>
      <c r="I14" s="11" t="str">
        <v>Inventory and source metadata only</v>
      </c>
      <c r="J14" s="11" t="str">
        <v>No xLog scoring acceptance</v>
      </c>
      <c r="K14" s="11" t="str">
        <v>No xLog mutation/export acceptance</v>
      </c>
      <c r="L14" s="11" t="str">
        <v>Not accepted</v>
      </c>
      <c r="M14" s="11" t="str">
        <v>Audit rule authority, implement family layers and independent mutation/export/operator cases.</v>
      </c>
      <c r="N14" s="12" t="str">
        <v>E02</v>
      </c>
      <c r="O14" s="12" t="str">
        <v>E01</v>
      </c>
      <c r="P14" s="11" t="str">
        <v>ari_dx.py at pinned source</v>
      </c>
      <c r="Q14" s="11" t="str">
        <v>aca1657269f715fc5d147aa9b5b884575fe63e5de36bc288d3660bb658320d0f</v>
      </c>
    </row>
    <row r="15" ht="72" customHeight="1">
      <c r="A15" s="11" t="n">
        <v>10</v>
      </c>
      <c r="B15" s="11" t="str">
        <v>arrl_10m</v>
      </c>
      <c r="C15" s="11" t="str">
        <v>ARRL 10M</v>
      </c>
      <c r="D15" s="11" t="str">
        <v>BOTH</v>
      </c>
      <c r="E15" s="11" t="str">
        <v>State/Province</v>
      </c>
      <c r="F15" s="11" t="str">
        <v>once-per-band-and-mode</v>
      </c>
      <c r="G15" s="11" t="str">
        <v>Pending activation</v>
      </c>
      <c r="H15" s="11" t="str">
        <v>Not implemented</v>
      </c>
      <c r="I15" s="11" t="str">
        <v>Inventory and source metadata only</v>
      </c>
      <c r="J15" s="11" t="str">
        <v>No xLog scoring acceptance</v>
      </c>
      <c r="K15" s="11" t="str">
        <v>No xLog mutation/export acceptance</v>
      </c>
      <c r="L15" s="11" t="str">
        <v>Not accepted</v>
      </c>
      <c r="M15" s="11" t="str">
        <v>Audit rule authority, implement family layers and independent mutation/export/operator cases.</v>
      </c>
      <c r="N15" s="12" t="str">
        <v>E02</v>
      </c>
      <c r="O15" s="12" t="str">
        <v>E01</v>
      </c>
      <c r="P15" s="11" t="str">
        <v>arrl_10m.py at pinned source</v>
      </c>
      <c r="Q15" s="11" t="str">
        <v>a2f81691437e8333046b8dae46dc0229638d034d1da30e780320becc55c595c6</v>
      </c>
    </row>
    <row r="16" ht="72" customHeight="1">
      <c r="A16" s="11" t="n">
        <v>11</v>
      </c>
      <c r="B16" s="11" t="str">
        <v>arrl_160m</v>
      </c>
      <c r="C16" s="11" t="str">
        <v>ARRL 160-Meter</v>
      </c>
      <c r="D16" s="11" t="str">
        <v>CW</v>
      </c>
      <c r="E16" s="11" t="str">
        <v>ST/Prov or DX CQ Zone</v>
      </c>
      <c r="F16" s="11" t="str">
        <v>once-per-contest</v>
      </c>
      <c r="G16" s="11" t="str">
        <v>Pending activation</v>
      </c>
      <c r="H16" s="11" t="str">
        <v>Not implemented</v>
      </c>
      <c r="I16" s="11" t="str">
        <v>Inventory and source metadata only</v>
      </c>
      <c r="J16" s="11" t="str">
        <v>No xLog scoring acceptance</v>
      </c>
      <c r="K16" s="11" t="str">
        <v>No xLog mutation/export acceptance</v>
      </c>
      <c r="L16" s="11" t="str">
        <v>Not accepted</v>
      </c>
      <c r="M16" s="11" t="str">
        <v>Audit rule authority, implement family layers and independent mutation/export/operator cases.</v>
      </c>
      <c r="N16" s="12" t="str">
        <v>E02</v>
      </c>
      <c r="O16" s="12" t="str">
        <v>E01</v>
      </c>
      <c r="P16" s="11" t="str">
        <v>arrl_160m.py at pinned source</v>
      </c>
      <c r="Q16" s="11" t="str">
        <v>6df35f43815c8426a406ccc93c80ebc77b42c9fd9f59a263975968b3313ccc45</v>
      </c>
    </row>
    <row r="17" ht="72" customHeight="1">
      <c r="A17" s="11" t="n">
        <v>12</v>
      </c>
      <c r="B17" s="11" t="str">
        <v>arrl_dx_cw</v>
      </c>
      <c r="C17" s="11" t="str">
        <v>ARRL DX CW</v>
      </c>
      <c r="D17" s="11" t="str">
        <v>CW</v>
      </c>
      <c r="E17" s="11" t="str">
        <v>State/Province</v>
      </c>
      <c r="F17" s="11" t="str">
        <v>once-per-band</v>
      </c>
      <c r="G17" s="11" t="str">
        <v>Active preview</v>
      </c>
      <c r="H17" s="11" t="str">
        <v>Official-rules practice preview</v>
      </c>
      <c r="I17" s="11" t="str">
        <v>Directional core, store, worker, client, shared UI; Cabrillo + ADIF</v>
      </c>
      <c r="J17" s="11" t="str">
        <v>Official v2.0 authority and independent score/export cases</v>
      </c>
      <c r="K17" s="11" t="str">
        <v>All four mode/role worker paths: two commits/reset/replay/reopen/correct/delete/exports; forged correction guard</v>
      </c>
      <c r="L17" s="11" t="str">
        <v>Browser-to-worker Run/S&amp;P open</v>
      </c>
      <c r="M17" s="11" t="str">
        <v>Current native matrix pending. Complete coupled operator, category/date/full sponsor headers and packaged acceptance. Ledger reconciliation adds these two registrations.</v>
      </c>
      <c r="N17" s="12" t="str">
        <v>E10</v>
      </c>
      <c r="O17" s="12" t="str">
        <v>E18</v>
      </c>
      <c r="P17" s="11" t="str">
        <v>arrl_dx_cw.py at pinned source</v>
      </c>
      <c r="Q17" s="11" t="str">
        <v>50dad8d13b4e782f6a846660f96a96357ae96866dac4ae5787f97818ed00e2d2</v>
      </c>
    </row>
    <row r="18" ht="72" customHeight="1">
      <c r="A18" s="11" t="n">
        <v>13</v>
      </c>
      <c r="B18" s="11" t="str">
        <v>arrl_dx_ssb</v>
      </c>
      <c r="C18" s="11" t="str">
        <v>ARRL DX SSB</v>
      </c>
      <c r="D18" s="11" t="str">
        <v>SSB</v>
      </c>
      <c r="E18" s="11" t="str">
        <v>State/Province</v>
      </c>
      <c r="F18" s="11" t="str">
        <v>once-per-band</v>
      </c>
      <c r="G18" s="11" t="str">
        <v>Active preview</v>
      </c>
      <c r="H18" s="11" t="str">
        <v>Official-rules practice preview</v>
      </c>
      <c r="I18" s="11" t="str">
        <v>Directional core, store, worker, client, shared UI; Cabrillo + ADIF</v>
      </c>
      <c r="J18" s="11" t="str">
        <v>Official v2.0 authority and independent score/export cases</v>
      </c>
      <c r="K18" s="11" t="str">
        <v>All four mode/role worker paths: two commits/reset/replay/reopen/correct/delete/exports; forged correction guard</v>
      </c>
      <c r="L18" s="11" t="str">
        <v>Browser-to-worker Run/S&amp;P open</v>
      </c>
      <c r="M18" s="11" t="str">
        <v>Current native matrix pending. Complete coupled operator, category/date/full sponsor headers and packaged acceptance. Ledger reconciliation adds these two registrations.</v>
      </c>
      <c r="N18" s="12" t="str">
        <v>E10</v>
      </c>
      <c r="O18" s="12" t="str">
        <v>E18</v>
      </c>
      <c r="P18" s="11" t="str">
        <v>arrl_dx_ssb.py at pinned source</v>
      </c>
      <c r="Q18" s="11" t="str">
        <v>357f333526a8cda2f654c84245056cf47cc95bbb0be0c1add64b1e53c3474387</v>
      </c>
    </row>
    <row r="19" ht="72" customHeight="1">
      <c r="A19" s="11" t="n">
        <v>14</v>
      </c>
      <c r="B19" s="11" t="str">
        <v>arrl_field_day</v>
      </c>
      <c r="C19" s="11" t="str">
        <v>ARRL Field Day</v>
      </c>
      <c r="D19" s="11" t="str">
        <v>BOTH</v>
      </c>
      <c r="E19" s="11" t="str">
        <v>1D ORG</v>
      </c>
      <c r="F19" s="11" t="str">
        <v>once-per-band-and-mode</v>
      </c>
      <c r="G19" s="11" t="str">
        <v>Pending activation</v>
      </c>
      <c r="H19" s="11" t="str">
        <v>Not implemented</v>
      </c>
      <c r="I19" s="11" t="str">
        <v>Inventory and source metadata only</v>
      </c>
      <c r="J19" s="11" t="str">
        <v>No xLog scoring acceptance</v>
      </c>
      <c r="K19" s="11" t="str">
        <v>No xLog mutation/export acceptance</v>
      </c>
      <c r="L19" s="11" t="str">
        <v>Not accepted</v>
      </c>
      <c r="M19" s="11" t="str">
        <v>Audit rule authority, implement family layers and independent mutation/export/operator cases.</v>
      </c>
      <c r="N19" s="12" t="str">
        <v>E02</v>
      </c>
      <c r="O19" s="12" t="str">
        <v>E01</v>
      </c>
      <c r="P19" s="11" t="str">
        <v>arrl_field_day.py at pinned source</v>
      </c>
      <c r="Q19" s="11" t="str">
        <v>c048a3f302063fb8bd575eac9bf06d637af8f1fab995b843c4228367aaa8efa8</v>
      </c>
    </row>
    <row r="20" ht="72" customHeight="1">
      <c r="A20" s="11" t="n">
        <v>15</v>
      </c>
      <c r="B20" s="11" t="str">
        <v>arrl_rtty_ru</v>
      </c>
      <c r="C20" s="11" t="str">
        <v>ARRL RTTY Roundup</v>
      </c>
      <c r="D20" s="11" t="str">
        <v>RTTY</v>
      </c>
      <c r="E20" s="11" t="str">
        <v>State/Province or #</v>
      </c>
      <c r="F20" s="11" t="str">
        <v>once-per-band</v>
      </c>
      <c r="G20" s="11" t="str">
        <v>Active preview</v>
      </c>
      <c r="H20" s="11" t="str">
        <v>Official-rules plain-logging preview</v>
      </c>
      <c r="I20" s="11" t="str">
        <v>Structured core, store, worker, client, UI; frozen sent exchange; outputs</v>
      </c>
      <c r="J20" s="11" t="str">
        <v>Independent six-QSO/six-multiplier score 36 fixture</v>
      </c>
      <c r="K20" s="11" t="str">
        <v>W/VE no-reserve and DX reserve; replay/reset/reopen/correction/delete/export</v>
      </c>
      <c r="L20" s="11" t="str">
        <v>Plain Log only; full Run/S&amp;P and digital output open</v>
      </c>
      <c r="M20" s="11" t="str">
        <v>Complete operator/category/date/time/header/submission gates; real digital adapter and packaged acceptance.</v>
      </c>
      <c r="N20" s="12" t="str">
        <v>E08</v>
      </c>
      <c r="O20" s="12" t="str">
        <v>E02</v>
      </c>
      <c r="P20" s="11" t="str">
        <v>arrl_rtty_ru.py at pinned source</v>
      </c>
      <c r="Q20" s="11" t="str">
        <v>51ec034028d5afa0d2788acb4e718d9699a198b2392dde2dbe78a0abfad31df6</v>
      </c>
    </row>
    <row r="21" ht="72" customHeight="1">
      <c r="A21" s="11" t="n">
        <v>16</v>
      </c>
      <c r="B21" s="11" t="str">
        <v>arrl_ss_cw</v>
      </c>
      <c r="C21" s="11" t="str">
        <v>ARRL Sweepstakes CW</v>
      </c>
      <c r="D21" s="11" t="str">
        <v>CW</v>
      </c>
      <c r="E21" s="11" t="str">
        <v>Prec Call Check Section</v>
      </c>
      <c r="F21" s="11" t="str">
        <v>once-per-contest</v>
      </c>
      <c r="G21" s="11" t="str">
        <v>Pending activation</v>
      </c>
      <c r="H21" s="11" t="str">
        <v>Not implemented</v>
      </c>
      <c r="I21" s="11" t="str">
        <v>Inventory and source metadata only</v>
      </c>
      <c r="J21" s="11" t="str">
        <v>No xLog scoring acceptance</v>
      </c>
      <c r="K21" s="11" t="str">
        <v>No xLog mutation/export acceptance</v>
      </c>
      <c r="L21" s="11" t="str">
        <v>Not accepted</v>
      </c>
      <c r="M21" s="11" t="str">
        <v>Audit rule authority, implement family layers and independent mutation/export/operator cases.</v>
      </c>
      <c r="N21" s="12" t="str">
        <v>E02</v>
      </c>
      <c r="O21" s="12" t="str">
        <v>E01</v>
      </c>
      <c r="P21" s="11" t="str">
        <v>arrl_ss_cw.py at pinned source</v>
      </c>
      <c r="Q21" s="11" t="str">
        <v>ae6306cbe34df212371989d9c324693b8f88da8e29701f17d8aeb5a32f5b3ce4</v>
      </c>
    </row>
    <row r="22" ht="72" customHeight="1">
      <c r="A22" s="11" t="n">
        <v>17</v>
      </c>
      <c r="B22" s="11" t="str">
        <v>arrl_ss_phone</v>
      </c>
      <c r="C22" s="11" t="str">
        <v>ARRL Sweepstakes Phone</v>
      </c>
      <c r="D22" s="11" t="str">
        <v>SSB</v>
      </c>
      <c r="E22" s="11" t="str">
        <v>Prec Call Check Section</v>
      </c>
      <c r="F22" s="11" t="str">
        <v>once-per-contest</v>
      </c>
      <c r="G22" s="11" t="str">
        <v>Pending activation</v>
      </c>
      <c r="H22" s="11" t="str">
        <v>Not implemented</v>
      </c>
      <c r="I22" s="11" t="str">
        <v>Inventory and source metadata only</v>
      </c>
      <c r="J22" s="11" t="str">
        <v>No xLog scoring acceptance</v>
      </c>
      <c r="K22" s="11" t="str">
        <v>No xLog mutation/export acceptance</v>
      </c>
      <c r="L22" s="11" t="str">
        <v>Not accepted</v>
      </c>
      <c r="M22" s="11" t="str">
        <v>Audit rule authority, implement family layers and independent mutation/export/operator cases.</v>
      </c>
      <c r="N22" s="12" t="str">
        <v>E02</v>
      </c>
      <c r="O22" s="12" t="str">
        <v>E01</v>
      </c>
      <c r="P22" s="11" t="str">
        <v>arrl_ss_phone.py at pinned source</v>
      </c>
      <c r="Q22" s="11" t="str">
        <v>24b9c96dc716769f4c30016b4979d38c33e609ae6ae6af104d10dd66e807a41a</v>
      </c>
    </row>
    <row r="23" ht="72" customHeight="1">
      <c r="A23" s="11" t="n">
        <v>18</v>
      </c>
      <c r="B23" s="11" t="str">
        <v>arrl_vhf_jan</v>
      </c>
      <c r="C23" s="11" t="str">
        <v>ARRL VHF JAN</v>
      </c>
      <c r="D23" s="11" t="str">
        <v>BOTH</v>
      </c>
      <c r="E23" s="11" t="str">
        <v>4-character grid square</v>
      </c>
      <c r="F23" s="11" t="str">
        <v>once-per-band</v>
      </c>
      <c r="G23" s="11" t="str">
        <v>Pending activation</v>
      </c>
      <c r="H23" s="11" t="str">
        <v>Not implemented</v>
      </c>
      <c r="I23" s="11" t="str">
        <v>Inventory and source metadata only</v>
      </c>
      <c r="J23" s="11" t="str">
        <v>No xLog scoring acceptance</v>
      </c>
      <c r="K23" s="11" t="str">
        <v>No xLog mutation/export acceptance</v>
      </c>
      <c r="L23" s="11" t="str">
        <v>Not accepted</v>
      </c>
      <c r="M23" s="11" t="str">
        <v>Audit rule authority, implement family layers and independent mutation/export/operator cases.</v>
      </c>
      <c r="N23" s="12" t="str">
        <v>E02</v>
      </c>
      <c r="O23" s="12" t="str">
        <v>E01</v>
      </c>
      <c r="P23" s="11" t="str">
        <v>arrl_vhf_jan.py at pinned source</v>
      </c>
      <c r="Q23" s="11" t="str">
        <v>692e8456947e307c15ae04c8ffe56a38f5f9475c22973a30d80b3879aeecb990</v>
      </c>
    </row>
    <row r="24" ht="72" customHeight="1">
      <c r="A24" s="11" t="n">
        <v>19</v>
      </c>
      <c r="B24" s="11" t="str">
        <v>arrl_vhf_jun</v>
      </c>
      <c r="C24" s="11" t="str">
        <v>ARRL VHF JUN</v>
      </c>
      <c r="D24" s="11" t="str">
        <v>BOTH</v>
      </c>
      <c r="E24" s="11" t="str">
        <v>4-character grid square</v>
      </c>
      <c r="F24" s="11" t="str">
        <v>once-per-band</v>
      </c>
      <c r="G24" s="11" t="str">
        <v>Pending activation</v>
      </c>
      <c r="H24" s="11" t="str">
        <v>Not implemented</v>
      </c>
      <c r="I24" s="11" t="str">
        <v>Inventory and source metadata only</v>
      </c>
      <c r="J24" s="11" t="str">
        <v>No xLog scoring acceptance</v>
      </c>
      <c r="K24" s="11" t="str">
        <v>No xLog mutation/export acceptance</v>
      </c>
      <c r="L24" s="11" t="str">
        <v>Not accepted</v>
      </c>
      <c r="M24" s="11" t="str">
        <v>Audit rule authority, implement family layers and independent mutation/export/operator cases.</v>
      </c>
      <c r="N24" s="12" t="str">
        <v>E02</v>
      </c>
      <c r="O24" s="12" t="str">
        <v>E01</v>
      </c>
      <c r="P24" s="11" t="str">
        <v>arrl_vhf_jun.py at pinned source</v>
      </c>
      <c r="Q24" s="11" t="str">
        <v>dd7d4183aa106125b3223aca6e2479341a8264995ea5b0261357301325573aff</v>
      </c>
    </row>
    <row r="25" ht="72" customHeight="1">
      <c r="A25" s="11" t="n">
        <v>20</v>
      </c>
      <c r="B25" s="11" t="str">
        <v>arrl_vhf_sep</v>
      </c>
      <c r="C25" s="11" t="str">
        <v>ARRL VHF SEP</v>
      </c>
      <c r="D25" s="11" t="str">
        <v>BOTH</v>
      </c>
      <c r="E25" s="11" t="str">
        <v>4-character grid square</v>
      </c>
      <c r="F25" s="11" t="str">
        <v>once-per-band</v>
      </c>
      <c r="G25" s="11" t="str">
        <v>Pending activation</v>
      </c>
      <c r="H25" s="11" t="str">
        <v>Not implemented</v>
      </c>
      <c r="I25" s="11" t="str">
        <v>Inventory and source metadata only</v>
      </c>
      <c r="J25" s="11" t="str">
        <v>No xLog scoring acceptance</v>
      </c>
      <c r="K25" s="11" t="str">
        <v>No xLog mutation/export acceptance</v>
      </c>
      <c r="L25" s="11" t="str">
        <v>Not accepted</v>
      </c>
      <c r="M25" s="11" t="str">
        <v>Audit rule authority, implement family layers and independent mutation/export/operator cases.</v>
      </c>
      <c r="N25" s="12" t="str">
        <v>E02</v>
      </c>
      <c r="O25" s="12" t="str">
        <v>E01</v>
      </c>
      <c r="P25" s="11" t="str">
        <v>arrl_vhf_sep.py at pinned source</v>
      </c>
      <c r="Q25" s="11" t="str">
        <v>571558e52d5de8fa886f9b4ce7e49a9a86d045b495d732da43ada9c6f36f3656</v>
      </c>
    </row>
    <row r="26" ht="72" customHeight="1">
      <c r="A26" s="11" t="n">
        <v>21</v>
      </c>
      <c r="B26" s="11" t="str">
        <v>ca_qso_party</v>
      </c>
      <c r="C26" s="11" t="str">
        <v>California QSO Party</v>
      </c>
      <c r="D26" s="11" t="str">
        <v>BOTH</v>
      </c>
      <c r="E26" s="11" t="str">
        <v># State/Prov or CA County.</v>
      </c>
      <c r="F26" s="11" t="str">
        <v>once-per-band-and-mode</v>
      </c>
      <c r="G26" s="11" t="str">
        <v>Pending activation</v>
      </c>
      <c r="H26" s="11" t="str">
        <v>Not implemented</v>
      </c>
      <c r="I26" s="11" t="str">
        <v>Inventory and source metadata only</v>
      </c>
      <c r="J26" s="11" t="str">
        <v>No xLog scoring acceptance</v>
      </c>
      <c r="K26" s="11" t="str">
        <v>No xLog mutation/export acceptance</v>
      </c>
      <c r="L26" s="11" t="str">
        <v>Not accepted</v>
      </c>
      <c r="M26" s="11" t="str">
        <v>Audit rule authority, implement family layers and independent mutation/export/operator cases.</v>
      </c>
      <c r="N26" s="12" t="str">
        <v>E02</v>
      </c>
      <c r="O26" s="12" t="str">
        <v>E01</v>
      </c>
      <c r="P26" s="11" t="str">
        <v>ca_qso_party.py at pinned source</v>
      </c>
      <c r="Q26" s="11" t="str">
        <v>0775e71559e17534f6b5817736eb0d89ae8926efd3028d2415d077ecfb6f7116</v>
      </c>
    </row>
    <row r="27" ht="72" customHeight="1">
      <c r="A27" s="11" t="n">
        <v>22</v>
      </c>
      <c r="B27" s="11" t="str">
        <v>canada_day</v>
      </c>
      <c r="C27" s="11" t="str">
        <v>CANADA DAY</v>
      </c>
      <c r="D27" s="11" t="str">
        <v>BOTH</v>
      </c>
      <c r="E27" s="11" t="str">
        <v>Province/Territory</v>
      </c>
      <c r="F27" s="11" t="str">
        <v>once-per-band-and-mode</v>
      </c>
      <c r="G27" s="11" t="str">
        <v>Pending activation</v>
      </c>
      <c r="H27" s="11" t="str">
        <v>Not implemented</v>
      </c>
      <c r="I27" s="11" t="str">
        <v>Inventory and source metadata only</v>
      </c>
      <c r="J27" s="11" t="str">
        <v>No xLog scoring acceptance</v>
      </c>
      <c r="K27" s="11" t="str">
        <v>No xLog mutation/export acceptance</v>
      </c>
      <c r="L27" s="11" t="str">
        <v>Not accepted</v>
      </c>
      <c r="M27" s="11" t="str">
        <v>Audit rule authority, implement family layers and independent mutation/export/operator cases.</v>
      </c>
      <c r="N27" s="12" t="str">
        <v>E02</v>
      </c>
      <c r="O27" s="12" t="str">
        <v>E01</v>
      </c>
      <c r="P27" s="11" t="str">
        <v>canada_day.py at pinned source</v>
      </c>
      <c r="Q27" s="11" t="str">
        <v>6b72955add7b1b016493acc0ad8e2cf9188e63e104e06d1442fb6b79b5a54219</v>
      </c>
    </row>
    <row r="28" ht="72" customHeight="1">
      <c r="A28" s="11" t="n">
        <v>23</v>
      </c>
      <c r="B28" s="11" t="str">
        <v>cq_160_cw</v>
      </c>
      <c r="C28" s="11" t="str">
        <v>CQ 160 CW</v>
      </c>
      <c r="D28" s="11" t="str">
        <v>CW</v>
      </c>
      <c r="E28" s="11" t="str">
        <v>ST/Prov or DX CQ Zone</v>
      </c>
      <c r="F28" s="11" t="str">
        <v>once-per-contest</v>
      </c>
      <c r="G28" s="11" t="str">
        <v>Pending activation</v>
      </c>
      <c r="H28" s="11" t="str">
        <v>Not implemented</v>
      </c>
      <c r="I28" s="11" t="str">
        <v>Inventory and source metadata only</v>
      </c>
      <c r="J28" s="11" t="str">
        <v>No xLog scoring acceptance</v>
      </c>
      <c r="K28" s="11" t="str">
        <v>No xLog mutation/export acceptance</v>
      </c>
      <c r="L28" s="11" t="str">
        <v>Not accepted</v>
      </c>
      <c r="M28" s="11" t="str">
        <v>Audit rule authority, implement family layers and independent mutation/export/operator cases.</v>
      </c>
      <c r="N28" s="12" t="str">
        <v>E02</v>
      </c>
      <c r="O28" s="12" t="str">
        <v>E01</v>
      </c>
      <c r="P28" s="11" t="str">
        <v>cq_160_cw.py at pinned source</v>
      </c>
      <c r="Q28" s="11" t="str">
        <v>45dce6c2caa3ee05e56137e2fee226dae5e1f2434b327b0d3506ae17b804379c</v>
      </c>
    </row>
    <row r="29" ht="72" customHeight="1">
      <c r="A29" s="11" t="n">
        <v>24</v>
      </c>
      <c r="B29" s="11" t="str">
        <v>cq_160_ssb</v>
      </c>
      <c r="C29" s="11" t="str">
        <v>CQ 160 SSB</v>
      </c>
      <c r="D29" s="11" t="str">
        <v>SSB</v>
      </c>
      <c r="E29" s="11" t="str">
        <v>ST/Prov or DX CQ Zone</v>
      </c>
      <c r="F29" s="11" t="str">
        <v>once-per-contest</v>
      </c>
      <c r="G29" s="11" t="str">
        <v>Pending activation</v>
      </c>
      <c r="H29" s="11" t="str">
        <v>Not implemented</v>
      </c>
      <c r="I29" s="11" t="str">
        <v>Inventory and source metadata only</v>
      </c>
      <c r="J29" s="11" t="str">
        <v>No xLog scoring acceptance</v>
      </c>
      <c r="K29" s="11" t="str">
        <v>No xLog mutation/export acceptance</v>
      </c>
      <c r="L29" s="11" t="str">
        <v>Not accepted</v>
      </c>
      <c r="M29" s="11" t="str">
        <v>Audit rule authority, implement family layers and independent mutation/export/operator cases.</v>
      </c>
      <c r="N29" s="12" t="str">
        <v>E02</v>
      </c>
      <c r="O29" s="12" t="str">
        <v>E01</v>
      </c>
      <c r="P29" s="11" t="str">
        <v>cq_160_ssb.py at pinned source</v>
      </c>
      <c r="Q29" s="11" t="str">
        <v>db03be688702e523a3d532fabc59e84e689668438e3c3038501a0d82a8b55804</v>
      </c>
    </row>
    <row r="30" ht="72" customHeight="1">
      <c r="A30" s="11" t="n">
        <v>25</v>
      </c>
      <c r="B30" s="11" t="str">
        <v>cq_wpx_cw</v>
      </c>
      <c r="C30" s="11" t="str">
        <v>CQ WPX CW</v>
      </c>
      <c r="D30" s="11" t="str">
        <v>CW</v>
      </c>
      <c r="E30" s="11" t="str">
        <v>#</v>
      </c>
      <c r="F30" s="11" t="str">
        <v>once-per-band</v>
      </c>
      <c r="G30" s="11" t="str">
        <v>Active preview</v>
      </c>
      <c r="H30" s="11" t="str">
        <v>Source-derived pilot</v>
      </c>
      <c r="I30" s="11" t="str">
        <v>Core, store, worker, client, UI; serial ledger; Cabrillo + ADIF</v>
      </c>
      <c r="J30" s="11" t="str">
        <v>Independent fixed prefix/arithmetic fixtures</v>
      </c>
      <c r="K30" s="11" t="str">
        <v>Reservation/commit/replay/edit/delete/restart; serial non-reuse; export goldens</v>
      </c>
      <c r="L30" s="11" t="str">
        <v>Historical 98db98b: CW/SSB Run + S&amp;P passed</v>
      </c>
      <c r="M30" s="11" t="str">
        <v>Current sponsor/category/date and packaged/native operator acceptance open. Rerun full matrix on final source.</v>
      </c>
      <c r="N30" s="12" t="str">
        <v>E04</v>
      </c>
      <c r="O30" s="12" t="str">
        <v>E11</v>
      </c>
      <c r="P30" s="11" t="str">
        <v>cq_wpx_cw.py at pinned source</v>
      </c>
      <c r="Q30" s="11" t="str">
        <v>27551aab291943acc03b53c74773b8da8ad3c5cbeb96dc6e483870408eadbc86</v>
      </c>
    </row>
    <row r="31" ht="72" customHeight="1">
      <c r="A31" s="11" t="n">
        <v>26</v>
      </c>
      <c r="B31" s="11" t="str">
        <v>cq_wpx_rtty</v>
      </c>
      <c r="C31" s="11" t="str">
        <v>CQ WPX RTTY</v>
      </c>
      <c r="D31" s="11" t="str">
        <v>RTTY</v>
      </c>
      <c r="E31" s="11" t="str">
        <v>#</v>
      </c>
      <c r="F31" s="11" t="str">
        <v>once-per-band</v>
      </c>
      <c r="G31" s="11" t="str">
        <v>Pending activation</v>
      </c>
      <c r="H31" s="11" t="str">
        <v>Not implemented</v>
      </c>
      <c r="I31" s="11" t="str">
        <v>Inventory and source metadata only</v>
      </c>
      <c r="J31" s="11" t="str">
        <v>No xLog scoring acceptance</v>
      </c>
      <c r="K31" s="11" t="str">
        <v>No xLog mutation/export acceptance</v>
      </c>
      <c r="L31" s="11" t="str">
        <v>Not accepted</v>
      </c>
      <c r="M31" s="11" t="str">
        <v>Digital import/send/output contract and isolated operator tests required.</v>
      </c>
      <c r="N31" s="12" t="str">
        <v>E02</v>
      </c>
      <c r="O31" s="12" t="str">
        <v>E01</v>
      </c>
      <c r="P31" s="11" t="str">
        <v>cq_wpx_rtty.py at pinned source</v>
      </c>
      <c r="Q31" s="11" t="str">
        <v>71d8ee0996f91ce3ad0dabaa524aae49bd1197b5313bfeb3d709c15e7b84a351</v>
      </c>
    </row>
    <row r="32" ht="72" customHeight="1">
      <c r="A32" s="11" t="n">
        <v>27</v>
      </c>
      <c r="B32" s="11" t="str">
        <v>cq_wpx_ssb</v>
      </c>
      <c r="C32" s="11" t="str">
        <v>CQ WPX SSB</v>
      </c>
      <c r="D32" s="11" t="str">
        <v>SSB</v>
      </c>
      <c r="E32" s="11" t="str">
        <v>#</v>
      </c>
      <c r="F32" s="11" t="str">
        <v>once-per-band</v>
      </c>
      <c r="G32" s="11" t="str">
        <v>Active preview</v>
      </c>
      <c r="H32" s="11" t="str">
        <v>Source-derived pilot</v>
      </c>
      <c r="I32" s="11" t="str">
        <v>Core, store, worker, client, UI; serial ledger; Cabrillo + ADIF</v>
      </c>
      <c r="J32" s="11" t="str">
        <v>Independent fixed prefix/arithmetic fixtures</v>
      </c>
      <c r="K32" s="11" t="str">
        <v>Reservation/commit/replay/edit/delete/restart; serial non-reuse; export goldens</v>
      </c>
      <c r="L32" s="11" t="str">
        <v>Historical 98db98b: CW/SSB Run + S&amp;P passed</v>
      </c>
      <c r="M32" s="11" t="str">
        <v>Current sponsor/category/date and packaged/native operator acceptance open. Rerun full matrix on final source.</v>
      </c>
      <c r="N32" s="12" t="str">
        <v>E04</v>
      </c>
      <c r="O32" s="12" t="str">
        <v>E11</v>
      </c>
      <c r="P32" s="11" t="str">
        <v>cq_wpx_ssb.py at pinned source</v>
      </c>
      <c r="Q32" s="11" t="str">
        <v>7d76fc6506c9fa4599db7ba1ea1e609a42994c79fc77096fbb522a7cb129f10d</v>
      </c>
    </row>
    <row r="33" ht="72" customHeight="1">
      <c r="A33" s="11" t="n">
        <v>28</v>
      </c>
      <c r="B33" s="11" t="str">
        <v>cq_ww_cw</v>
      </c>
      <c r="C33" s="11" t="str">
        <v>CQ WW CW</v>
      </c>
      <c r="D33" s="11" t="str">
        <v>CW</v>
      </c>
      <c r="E33" s="11" t="str">
        <v>CQ Zone No.</v>
      </c>
      <c r="F33" s="11" t="str">
        <v>once-per-band</v>
      </c>
      <c r="G33" s="11" t="str">
        <v>Active preview</v>
      </c>
      <c r="H33" s="11" t="str">
        <v>Source-derived pilot</v>
      </c>
      <c r="I33" s="11" t="str">
        <v>Core, store, worker, client, UI; Cabrillo + ADIF</v>
      </c>
      <c r="J33" s="11" t="str">
        <v>Independent fixed fixtures; source-derived score cases</v>
      </c>
      <c r="K33" s="11" t="str">
        <v>Create/commit/edit/delete/reopen; export goldens</v>
      </c>
      <c r="L33" s="11" t="str">
        <v>Historical 98db98b: CW/SSB Run + S&amp;P passed</v>
      </c>
      <c r="M33" s="11" t="str">
        <v>Current sponsor/category/date and packaged/native operator acceptance open. Rerun full matrix on final source.</v>
      </c>
      <c r="N33" s="12" t="str">
        <v>E04</v>
      </c>
      <c r="O33" s="12" t="str">
        <v>E11</v>
      </c>
      <c r="P33" s="11" t="str">
        <v>cq_ww_cw.py at pinned source</v>
      </c>
      <c r="Q33" s="11" t="str">
        <v>08f383e8ddb6f02fede9149f5490a1042b71a5cd5e2591ac76b0cf1ba460c3e2</v>
      </c>
    </row>
    <row r="34" ht="72" customHeight="1">
      <c r="A34" s="11" t="n">
        <v>29</v>
      </c>
      <c r="B34" s="11" t="str">
        <v>cq_ww_rtty</v>
      </c>
      <c r="C34" s="11" t="str">
        <v>CQ WW RTTY</v>
      </c>
      <c r="D34" s="11" t="str">
        <v>RTTY</v>
      </c>
      <c r="E34" s="11" t="str">
        <v>CQ Zone + (state/VE area)</v>
      </c>
      <c r="F34" s="11" t="str">
        <v>once-per-band</v>
      </c>
      <c r="G34" s="11" t="str">
        <v>Pending activation</v>
      </c>
      <c r="H34" s="11" t="str">
        <v>Not implemented</v>
      </c>
      <c r="I34" s="11" t="str">
        <v>Inventory and source metadata only</v>
      </c>
      <c r="J34" s="11" t="str">
        <v>No xLog scoring acceptance</v>
      </c>
      <c r="K34" s="11" t="str">
        <v>No xLog mutation/export acceptance</v>
      </c>
      <c r="L34" s="11" t="str">
        <v>Not accepted</v>
      </c>
      <c r="M34" s="11" t="str">
        <v>Digital import/send/output contract and isolated operator tests required.</v>
      </c>
      <c r="N34" s="12" t="str">
        <v>E02</v>
      </c>
      <c r="O34" s="12" t="str">
        <v>E01</v>
      </c>
      <c r="P34" s="11" t="str">
        <v>cq_ww_rtty.py at pinned source</v>
      </c>
      <c r="Q34" s="11" t="str">
        <v>38f63367317c92850ae112ba51931a8db477467a18baca5d7d242ef36f66deb5</v>
      </c>
    </row>
    <row r="35" ht="72" customHeight="1">
      <c r="A35" s="11" t="n">
        <v>30</v>
      </c>
      <c r="B35" s="11" t="str">
        <v>cq_ww_ssb</v>
      </c>
      <c r="C35" s="11" t="str">
        <v>CQ WW SSB</v>
      </c>
      <c r="D35" s="11" t="str">
        <v>SSB</v>
      </c>
      <c r="E35" s="11" t="str">
        <v>CQ Zone No.</v>
      </c>
      <c r="F35" s="11" t="str">
        <v>once-per-band</v>
      </c>
      <c r="G35" s="11" t="str">
        <v>Active preview</v>
      </c>
      <c r="H35" s="11" t="str">
        <v>Source-derived pilot</v>
      </c>
      <c r="I35" s="11" t="str">
        <v>Core, store, worker, client, UI; Cabrillo + ADIF</v>
      </c>
      <c r="J35" s="11" t="str">
        <v>Independent fixed fixtures; source-derived score cases</v>
      </c>
      <c r="K35" s="11" t="str">
        <v>Create/commit/edit/delete/reopen; export goldens</v>
      </c>
      <c r="L35" s="11" t="str">
        <v>Historical 98db98b: CW/SSB Run + S&amp;P passed</v>
      </c>
      <c r="M35" s="11" t="str">
        <v>Current sponsor/category/date and packaged/native operator acceptance open. Rerun full matrix on final source.</v>
      </c>
      <c r="N35" s="12" t="str">
        <v>E04</v>
      </c>
      <c r="O35" s="12" t="str">
        <v>E11</v>
      </c>
      <c r="P35" s="11" t="str">
        <v>cq_ww_ssb.py at pinned source</v>
      </c>
      <c r="Q35" s="11" t="str">
        <v>9ec3762986761232042389f0334b4887271772d18025f3dd0fdc820782105b3b</v>
      </c>
    </row>
    <row r="36" ht="72" customHeight="1">
      <c r="A36" s="11" t="n">
        <v>31</v>
      </c>
      <c r="B36" s="11" t="str">
        <v>cq_ww_vhf</v>
      </c>
      <c r="C36" s="11" t="str">
        <v>CQ WW VHF</v>
      </c>
      <c r="D36" s="11" t="str">
        <v>BOTH</v>
      </c>
      <c r="E36" s="11" t="str">
        <v>4-character grid square</v>
      </c>
      <c r="F36" s="11" t="str">
        <v>plugin-specific-dispatch-unverified</v>
      </c>
      <c r="G36" s="11" t="str">
        <v>Pending activation</v>
      </c>
      <c r="H36" s="11" t="str">
        <v>Not implemented</v>
      </c>
      <c r="I36" s="11" t="str">
        <v>Inventory and source metadata only</v>
      </c>
      <c r="J36" s="11" t="str">
        <v>No xLog scoring acceptance</v>
      </c>
      <c r="K36" s="11" t="str">
        <v>No xLog mutation/export acceptance</v>
      </c>
      <c r="L36" s="11" t="str">
        <v>Not accepted</v>
      </c>
      <c r="M36" s="11" t="str">
        <v>Audit custom duplicate logic before implementation; no generic-policy substitution.</v>
      </c>
      <c r="N36" s="12" t="str">
        <v>E02</v>
      </c>
      <c r="O36" s="12" t="str">
        <v>E01</v>
      </c>
      <c r="P36" s="11" t="str">
        <v>cq_ww_vhf.py at pinned source</v>
      </c>
      <c r="Q36" s="11" t="str">
        <v>8793c86b61c995b495401c50ecb7b9f924d51bab85a577293201c690236af91d</v>
      </c>
    </row>
    <row r="37" ht="72" customHeight="1">
      <c r="A37" s="11" t="n">
        <v>32</v>
      </c>
      <c r="B37" s="11" t="str">
        <v>cqws</v>
      </c>
      <c r="C37" s="11" t="str">
        <v>CQ WORLD SCOUT</v>
      </c>
      <c r="D37" s="11" t="str">
        <v>BOTH</v>
      </c>
      <c r="E37" s="11" t="str">
        <v>Station Type</v>
      </c>
      <c r="F37" s="11" t="str">
        <v>once-per-band</v>
      </c>
      <c r="G37" s="11" t="str">
        <v>Pending activation</v>
      </c>
      <c r="H37" s="11" t="str">
        <v>Not implemented</v>
      </c>
      <c r="I37" s="11" t="str">
        <v>Inventory and source metadata only</v>
      </c>
      <c r="J37" s="11" t="str">
        <v>No xLog scoring acceptance</v>
      </c>
      <c r="K37" s="11" t="str">
        <v>No xLog mutation/export acceptance</v>
      </c>
      <c r="L37" s="11" t="str">
        <v>Not accepted</v>
      </c>
      <c r="M37" s="11" t="str">
        <v>Audit rule authority, implement family layers and independent mutation/export/operator cases.</v>
      </c>
      <c r="N37" s="12" t="str">
        <v>E02</v>
      </c>
      <c r="O37" s="12" t="str">
        <v>E01</v>
      </c>
      <c r="P37" s="11" t="str">
        <v>cqws.py at pinned source</v>
      </c>
      <c r="Q37" s="11" t="str">
        <v>1aa412935a207a55152a80212a98bdd13409e05d83bb6c512ff52daf649f3720</v>
      </c>
    </row>
    <row r="38" ht="72" customHeight="1">
      <c r="A38" s="11" t="n">
        <v>33</v>
      </c>
      <c r="B38" s="11" t="str">
        <v>cwo</v>
      </c>
      <c r="C38" s="11" t="str">
        <v>CWOPS - Open</v>
      </c>
      <c r="D38" s="11" t="str">
        <v>CW</v>
      </c>
      <c r="E38" s="11" t="str">
        <v># Name</v>
      </c>
      <c r="F38" s="11" t="str">
        <v>once-per-band</v>
      </c>
      <c r="G38" s="11" t="str">
        <v>Pending activation</v>
      </c>
      <c r="H38" s="11" t="str">
        <v>Not implemented</v>
      </c>
      <c r="I38" s="11" t="str">
        <v>Inventory and source metadata only</v>
      </c>
      <c r="J38" s="11" t="str">
        <v>No xLog scoring acceptance</v>
      </c>
      <c r="K38" s="11" t="str">
        <v>No xLog mutation/export acceptance</v>
      </c>
      <c r="L38" s="11" t="str">
        <v>Not accepted</v>
      </c>
      <c r="M38" s="11" t="str">
        <v>Audit rule authority, implement family layers and independent mutation/export/operator cases.</v>
      </c>
      <c r="N38" s="12" t="str">
        <v>E02</v>
      </c>
      <c r="O38" s="12" t="str">
        <v>E01</v>
      </c>
      <c r="P38" s="11" t="str">
        <v>cwo.py at pinned source</v>
      </c>
      <c r="Q38" s="11" t="str">
        <v>e162c7e11759cd97322e2d60257f05e47312d997751c2fb2db2b5751872b3a8e</v>
      </c>
    </row>
    <row r="39" ht="72" customHeight="1">
      <c r="A39" s="11" t="n">
        <v>34</v>
      </c>
      <c r="B39" s="11" t="str">
        <v>cwt</v>
      </c>
      <c r="C39" s="11" t="str">
        <v>CWT</v>
      </c>
      <c r="D39" s="11" t="str">
        <v>CW</v>
      </c>
      <c r="E39" s="11" t="str">
        <v>Name + Member No./'CWA'</v>
      </c>
      <c r="F39" s="11" t="str">
        <v>once-per-band</v>
      </c>
      <c r="G39" s="11" t="str">
        <v>Pending activation</v>
      </c>
      <c r="H39" s="11" t="str">
        <v>Not implemented</v>
      </c>
      <c r="I39" s="11" t="str">
        <v>Inventory and source metadata only</v>
      </c>
      <c r="J39" s="11" t="str">
        <v>No xLog scoring acceptance</v>
      </c>
      <c r="K39" s="11" t="str">
        <v>No xLog mutation/export acceptance</v>
      </c>
      <c r="L39" s="11" t="str">
        <v>Not accepted</v>
      </c>
      <c r="M39" s="11" t="str">
        <v>Audit rule authority, implement family layers and independent mutation/export/operator cases.</v>
      </c>
      <c r="N39" s="12" t="str">
        <v>E02</v>
      </c>
      <c r="O39" s="12" t="str">
        <v>E01</v>
      </c>
      <c r="P39" s="11" t="str">
        <v>cwt.py at pinned source</v>
      </c>
      <c r="Q39" s="11" t="str">
        <v>12010bc2f8a4822e45444c996f82993aea952916405de8449a3ca6fe68c9de64</v>
      </c>
    </row>
    <row r="40" ht="72" customHeight="1">
      <c r="A40" s="11" t="n">
        <v>35</v>
      </c>
      <c r="B40" s="11" t="str">
        <v>darc_schwaben</v>
      </c>
      <c r="C40" s="11" t="str">
        <v>DARC SCHWABEN</v>
      </c>
      <c r="D40" s="11" t="str">
        <v>BOTH</v>
      </c>
      <c r="E40" s="11" t="str">
        <v>DOK/NM or # (+Locator for VHF)</v>
      </c>
      <c r="F40" s="11" t="str">
        <v>once-per-band-and-mode</v>
      </c>
      <c r="G40" s="11" t="str">
        <v>Pending activation</v>
      </c>
      <c r="H40" s="11" t="str">
        <v>Not implemented</v>
      </c>
      <c r="I40" s="11" t="str">
        <v>Inventory and source metadata only</v>
      </c>
      <c r="J40" s="11" t="str">
        <v>No xLog scoring acceptance</v>
      </c>
      <c r="K40" s="11" t="str">
        <v>No xLog mutation/export acceptance</v>
      </c>
      <c r="L40" s="11" t="str">
        <v>Not accepted</v>
      </c>
      <c r="M40" s="11" t="str">
        <v>Audit rule authority, implement family layers and independent mutation/export/operator cases.</v>
      </c>
      <c r="N40" s="12" t="str">
        <v>E02</v>
      </c>
      <c r="O40" s="12" t="str">
        <v>E01</v>
      </c>
      <c r="P40" s="11" t="str">
        <v>darc_schwaben.py at pinned source</v>
      </c>
      <c r="Q40" s="11" t="str">
        <v>77cca83fa1a57ed273f54ec2ada3dec8be377a96a669ff0926e0bfc369ecc237</v>
      </c>
    </row>
    <row r="41" ht="72" customHeight="1">
      <c r="A41" s="11" t="n">
        <v>36</v>
      </c>
      <c r="B41" s="11" t="str">
        <v>darc_vhf</v>
      </c>
      <c r="C41" s="11" t="str">
        <v>DARC VHF</v>
      </c>
      <c r="D41" s="11" t="str">
        <v>BOTH</v>
      </c>
      <c r="E41" s="11" t="str">
        <v># + 6char grid</v>
      </c>
      <c r="F41" s="11" t="str">
        <v>once-per-band-and-mode</v>
      </c>
      <c r="G41" s="11" t="str">
        <v>Pending activation</v>
      </c>
      <c r="H41" s="11" t="str">
        <v>Not implemented</v>
      </c>
      <c r="I41" s="11" t="str">
        <v>Inventory and source metadata only</v>
      </c>
      <c r="J41" s="11" t="str">
        <v>No xLog scoring acceptance</v>
      </c>
      <c r="K41" s="11" t="str">
        <v>No xLog mutation/export acceptance</v>
      </c>
      <c r="L41" s="11" t="str">
        <v>Not accepted</v>
      </c>
      <c r="M41" s="11" t="str">
        <v>Audit rule authority, implement family layers and independent mutation/export/operator cases.</v>
      </c>
      <c r="N41" s="12" t="str">
        <v>E02</v>
      </c>
      <c r="O41" s="12" t="str">
        <v>E01</v>
      </c>
      <c r="P41" s="11" t="str">
        <v>darc_vhf.py at pinned source</v>
      </c>
      <c r="Q41" s="11" t="str">
        <v>d679f88d4e9c255ff5ec0425c31194e16e61d2448c1a3b02f8c0fbfd1d4a8f2f</v>
      </c>
    </row>
    <row r="42" ht="72" customHeight="1">
      <c r="A42" s="11" t="n">
        <v>37</v>
      </c>
      <c r="B42" s="11" t="str">
        <v>darc_xmas</v>
      </c>
      <c r="C42" s="11" t="str">
        <v>DARC XMAS</v>
      </c>
      <c r="D42" s="11" t="str">
        <v>BOTH</v>
      </c>
      <c r="E42" s="11" t="str">
        <v>DOK/NM or #</v>
      </c>
      <c r="F42" s="11" t="str">
        <v>once-per-band-and-mode</v>
      </c>
      <c r="G42" s="11" t="str">
        <v>Pending activation</v>
      </c>
      <c r="H42" s="11" t="str">
        <v>Not implemented</v>
      </c>
      <c r="I42" s="11" t="str">
        <v>Inventory and source metadata only</v>
      </c>
      <c r="J42" s="11" t="str">
        <v>No xLog scoring acceptance</v>
      </c>
      <c r="K42" s="11" t="str">
        <v>No xLog mutation/export acceptance</v>
      </c>
      <c r="L42" s="11" t="str">
        <v>Not accepted</v>
      </c>
      <c r="M42" s="11" t="str">
        <v>Audit rule authority, implement family layers and independent mutation/export/operator cases.</v>
      </c>
      <c r="N42" s="12" t="str">
        <v>E02</v>
      </c>
      <c r="O42" s="12" t="str">
        <v>E01</v>
      </c>
      <c r="P42" s="11" t="str">
        <v>darc_xmas.py at pinned source</v>
      </c>
      <c r="Q42" s="11" t="str">
        <v>a88a3bb7eaf765d6ce5039400d6a02db0ccb254cf3df76194604176adc295c4d</v>
      </c>
    </row>
    <row r="43" ht="72" customHeight="1">
      <c r="A43" s="11" t="n">
        <v>38</v>
      </c>
      <c r="B43" s="11" t="str">
        <v>dxpedition</v>
      </c>
      <c r="C43" s="11" t="str">
        <v>DX-Pedition</v>
      </c>
      <c r="D43" s="11" t="str">
        <v>BOTH</v>
      </c>
      <c r="E43" s="11" t="str"/>
      <c r="F43" s="11" t="str">
        <v>no-duplicate-checking</v>
      </c>
      <c r="G43" s="11" t="str">
        <v>Pending activation</v>
      </c>
      <c r="H43" s="11" t="str">
        <v>Not implemented</v>
      </c>
      <c r="I43" s="11" t="str">
        <v>Inventory and source metadata only</v>
      </c>
      <c r="J43" s="11" t="str">
        <v>No xLog scoring acceptance</v>
      </c>
      <c r="K43" s="11" t="str">
        <v>No xLog mutation/export acceptance</v>
      </c>
      <c r="L43" s="11" t="str">
        <v>Not accepted</v>
      </c>
      <c r="M43" s="11" t="str">
        <v>Explicit normal-logger equivalence/import disposition required.</v>
      </c>
      <c r="N43" s="12" t="str">
        <v>E02</v>
      </c>
      <c r="O43" s="12" t="str">
        <v>E01</v>
      </c>
      <c r="P43" s="11" t="str">
        <v>dxpedition.py at pinned source</v>
      </c>
      <c r="Q43" s="11" t="str">
        <v>7af5440718a7d4910b3c4eeac31a927001c63f6ef806370aa74de0f8b0993bc8</v>
      </c>
    </row>
    <row r="44" ht="72" customHeight="1">
      <c r="A44" s="11" t="n">
        <v>39</v>
      </c>
      <c r="B44" s="11" t="str">
        <v>ea_majestad_cw</v>
      </c>
      <c r="C44" s="11" t="str">
        <v>His Maj. King of Spain Contest, CW</v>
      </c>
      <c r="D44" s="11" t="str">
        <v>CW</v>
      </c>
      <c r="E44" s="11" t="str">
        <v>Province or #</v>
      </c>
      <c r="F44" s="11" t="str">
        <v>once-per-band</v>
      </c>
      <c r="G44" s="11" t="str">
        <v>Pending activation</v>
      </c>
      <c r="H44" s="11" t="str">
        <v>Not implemented</v>
      </c>
      <c r="I44" s="11" t="str">
        <v>Inventory and source metadata only</v>
      </c>
      <c r="J44" s="11" t="str">
        <v>No xLog scoring acceptance</v>
      </c>
      <c r="K44" s="11" t="str">
        <v>No xLog mutation/export acceptance</v>
      </c>
      <c r="L44" s="11" t="str">
        <v>Not accepted</v>
      </c>
      <c r="M44" s="11" t="str">
        <v>Audit rule authority, implement family layers and independent mutation/export/operator cases.</v>
      </c>
      <c r="N44" s="12" t="str">
        <v>E02</v>
      </c>
      <c r="O44" s="12" t="str">
        <v>E01</v>
      </c>
      <c r="P44" s="11" t="str">
        <v>ea_majestad_cw.py at pinned source</v>
      </c>
      <c r="Q44" s="11" t="str">
        <v>6c3e2825fea358615df7f9fb1c4c788acf3d7785ae031dbdaa60fff06d8332ad</v>
      </c>
    </row>
    <row r="45" ht="72" customHeight="1">
      <c r="A45" s="11" t="n">
        <v>40</v>
      </c>
      <c r="B45" s="11" t="str">
        <v>ea_majestad_ssb</v>
      </c>
      <c r="C45" s="11" t="str">
        <v>His Maj. King of Spain Contest, SSB</v>
      </c>
      <c r="D45" s="11" t="str">
        <v>SSB</v>
      </c>
      <c r="E45" s="11" t="str">
        <v>Province or #</v>
      </c>
      <c r="F45" s="11" t="str">
        <v>once-per-band</v>
      </c>
      <c r="G45" s="11" t="str">
        <v>Pending activation</v>
      </c>
      <c r="H45" s="11" t="str">
        <v>Not implemented</v>
      </c>
      <c r="I45" s="11" t="str">
        <v>Inventory and source metadata only</v>
      </c>
      <c r="J45" s="11" t="str">
        <v>No xLog scoring acceptance</v>
      </c>
      <c r="K45" s="11" t="str">
        <v>No xLog mutation/export acceptance</v>
      </c>
      <c r="L45" s="11" t="str">
        <v>Not accepted</v>
      </c>
      <c r="M45" s="11" t="str">
        <v>Audit rule authority, implement family layers and independent mutation/export/operator cases.</v>
      </c>
      <c r="N45" s="12" t="str">
        <v>E02</v>
      </c>
      <c r="O45" s="12" t="str">
        <v>E01</v>
      </c>
      <c r="P45" s="11" t="str">
        <v>ea_majestad_ssb.py at pinned source</v>
      </c>
      <c r="Q45" s="11" t="str">
        <v>168ad966df4cbfaf24044b5b9a3840407b6d01255184442e690f99d7693f9391</v>
      </c>
    </row>
    <row r="46" ht="72" customHeight="1">
      <c r="A46" s="11" t="n">
        <v>41</v>
      </c>
      <c r="B46" s="11" t="str">
        <v>ea_rtty</v>
      </c>
      <c r="C46" s="11" t="str">
        <v>EA RTTY</v>
      </c>
      <c r="D46" s="11" t="str">
        <v>RTTY</v>
      </c>
      <c r="E46" s="11" t="str">
        <v>Province or #</v>
      </c>
      <c r="F46" s="11" t="str">
        <v>once-per-band</v>
      </c>
      <c r="G46" s="11" t="str">
        <v>Pending activation</v>
      </c>
      <c r="H46" s="11" t="str">
        <v>Not implemented</v>
      </c>
      <c r="I46" s="11" t="str">
        <v>Inventory and source metadata only</v>
      </c>
      <c r="J46" s="11" t="str">
        <v>No xLog scoring acceptance</v>
      </c>
      <c r="K46" s="11" t="str">
        <v>No xLog mutation/export acceptance</v>
      </c>
      <c r="L46" s="11" t="str">
        <v>Not accepted</v>
      </c>
      <c r="M46" s="11" t="str">
        <v>Digital import/send/output contract and isolated operator tests required.</v>
      </c>
      <c r="N46" s="12" t="str">
        <v>E02</v>
      </c>
      <c r="O46" s="12" t="str">
        <v>E01</v>
      </c>
      <c r="P46" s="11" t="str">
        <v>ea_rtty.py at pinned source</v>
      </c>
      <c r="Q46" s="11" t="str">
        <v>464596fc9b95101b2fe7960974753f7805566f8a1805a3ce55e99d3d409cb564</v>
      </c>
    </row>
    <row r="47" ht="72" customHeight="1">
      <c r="A47" s="11" t="n">
        <v>42</v>
      </c>
      <c r="B47" s="11" t="str">
        <v>es_field_day</v>
      </c>
      <c r="C47" s="11" t="str">
        <v>ES FIELD DAY</v>
      </c>
      <c r="D47" s="11" t="str">
        <v>BOTH</v>
      </c>
      <c r="E47" s="11" t="str">
        <v>#</v>
      </c>
      <c r="F47" s="11" t="str">
        <v>plugin-specific-dispatch-unverified</v>
      </c>
      <c r="G47" s="11" t="str">
        <v>Pending activation</v>
      </c>
      <c r="H47" s="11" t="str">
        <v>Not implemented</v>
      </c>
      <c r="I47" s="11" t="str">
        <v>Inventory and source metadata only</v>
      </c>
      <c r="J47" s="11" t="str">
        <v>No xLog scoring acceptance</v>
      </c>
      <c r="K47" s="11" t="str">
        <v>No xLog mutation/export acceptance</v>
      </c>
      <c r="L47" s="11" t="str">
        <v>Not accepted</v>
      </c>
      <c r="M47" s="11" t="str">
        <v>Audit custom duplicate logic before implementation; no generic-policy substitution.</v>
      </c>
      <c r="N47" s="12" t="str">
        <v>E02</v>
      </c>
      <c r="O47" s="12" t="str">
        <v>E01</v>
      </c>
      <c r="P47" s="11" t="str">
        <v>es_field_day.py at pinned source</v>
      </c>
      <c r="Q47" s="11" t="str">
        <v>b0dbe23dc1d41aa313eaa76955a7999be3a2066f404daacb66a9cd33dd9d94b4</v>
      </c>
    </row>
    <row r="48" ht="72" customHeight="1">
      <c r="A48" s="11" t="n">
        <v>43</v>
      </c>
      <c r="B48" s="11" t="str">
        <v>es_ll_kv</v>
      </c>
      <c r="C48" s="11" t="str">
        <v>ES LL KV</v>
      </c>
      <c r="D48" s="11" t="str">
        <v>BOTH</v>
      </c>
      <c r="E48" s="11" t="str">
        <v>#</v>
      </c>
      <c r="F48" s="11" t="str">
        <v>plugin-specific-dispatch-unverified</v>
      </c>
      <c r="G48" s="11" t="str">
        <v>Pending activation</v>
      </c>
      <c r="H48" s="11" t="str">
        <v>Not implemented</v>
      </c>
      <c r="I48" s="11" t="str">
        <v>Inventory and source metadata only</v>
      </c>
      <c r="J48" s="11" t="str">
        <v>No xLog scoring acceptance</v>
      </c>
      <c r="K48" s="11" t="str">
        <v>No xLog mutation/export acceptance</v>
      </c>
      <c r="L48" s="11" t="str">
        <v>Not accepted</v>
      </c>
      <c r="M48" s="11" t="str">
        <v>Audit custom duplicate logic before implementation; no generic-policy substitution.</v>
      </c>
      <c r="N48" s="12" t="str">
        <v>E02</v>
      </c>
      <c r="O48" s="12" t="str">
        <v>E01</v>
      </c>
      <c r="P48" s="11" t="str">
        <v>es_ll_kv.py at pinned source</v>
      </c>
      <c r="Q48" s="11" t="str">
        <v>68996afb0fd28d9f7e0f31481bea7644e9a2a7391ad384301e7cff43edf37a61</v>
      </c>
    </row>
    <row r="49" ht="72" customHeight="1">
      <c r="A49" s="11" t="n">
        <v>44</v>
      </c>
      <c r="B49" s="11" t="str">
        <v>es_manual_key</v>
      </c>
      <c r="C49" s="11" t="str">
        <v>ES MANUAL KEY</v>
      </c>
      <c r="D49" s="11" t="str">
        <v>CW</v>
      </c>
      <c r="E49" s="11" t="str">
        <v>#</v>
      </c>
      <c r="F49" s="11" t="str">
        <v>plugin-specific-dispatch-unverified</v>
      </c>
      <c r="G49" s="11" t="str">
        <v>Pending activation</v>
      </c>
      <c r="H49" s="11" t="str">
        <v>Not implemented</v>
      </c>
      <c r="I49" s="11" t="str">
        <v>Inventory and source metadata only</v>
      </c>
      <c r="J49" s="11" t="str">
        <v>No xLog scoring acceptance</v>
      </c>
      <c r="K49" s="11" t="str">
        <v>No xLog mutation/export acceptance</v>
      </c>
      <c r="L49" s="11" t="str">
        <v>Not accepted</v>
      </c>
      <c r="M49" s="11" t="str">
        <v>Audit custom duplicate logic before implementation; no generic-policy substitution.</v>
      </c>
      <c r="N49" s="12" t="str">
        <v>E02</v>
      </c>
      <c r="O49" s="12" t="str">
        <v>E01</v>
      </c>
      <c r="P49" s="11" t="str">
        <v>es_manual_key.py at pinned source</v>
      </c>
      <c r="Q49" s="11" t="str">
        <v>785c7367ea9f3d19b11c40bc2d890564e13f1e34dd91c61ba5739b875a9ac9db</v>
      </c>
    </row>
    <row r="50" ht="72" customHeight="1">
      <c r="A50" s="11" t="n">
        <v>45</v>
      </c>
      <c r="B50" s="11" t="str">
        <v>es_open</v>
      </c>
      <c r="C50" s="11" t="str">
        <v>ES OPEN</v>
      </c>
      <c r="D50" s="11" t="str">
        <v>BOTH</v>
      </c>
      <c r="E50" s="11" t="str">
        <v>#</v>
      </c>
      <c r="F50" s="11" t="str">
        <v>plugin-specific-dispatch-unverified</v>
      </c>
      <c r="G50" s="11" t="str">
        <v>Pending activation</v>
      </c>
      <c r="H50" s="11" t="str">
        <v>Not implemented</v>
      </c>
      <c r="I50" s="11" t="str">
        <v>Inventory and source metadata only</v>
      </c>
      <c r="J50" s="11" t="str">
        <v>No xLog scoring acceptance</v>
      </c>
      <c r="K50" s="11" t="str">
        <v>No xLog mutation/export acceptance</v>
      </c>
      <c r="L50" s="11" t="str">
        <v>Not accepted</v>
      </c>
      <c r="M50" s="11" t="str">
        <v>Audit custom duplicate logic before implementation; no generic-policy substitution.</v>
      </c>
      <c r="N50" s="12" t="str">
        <v>E02</v>
      </c>
      <c r="O50" s="12" t="str">
        <v>E01</v>
      </c>
      <c r="P50" s="11" t="str">
        <v>es_open.py at pinned source</v>
      </c>
      <c r="Q50" s="11" t="str">
        <v>5b9563e0df2cb275ee1e13ac3d6d8653d566c74d922fdab9d6f4779b03618333</v>
      </c>
    </row>
    <row r="51" ht="72" customHeight="1">
      <c r="A51" s="11" t="n">
        <v>46</v>
      </c>
      <c r="B51" s="11" t="str">
        <v>eudx</v>
      </c>
      <c r="C51" s="11" t="str">
        <v>EUDXC</v>
      </c>
      <c r="D51" s="11" t="str">
        <v>BOTH</v>
      </c>
      <c r="E51" s="11" t="str">
        <v>ITU or EU Union Region</v>
      </c>
      <c r="F51" s="11" t="str">
        <v>once-per-band-and-mode</v>
      </c>
      <c r="G51" s="11" t="str">
        <v>Pending activation</v>
      </c>
      <c r="H51" s="11" t="str">
        <v>Not implemented</v>
      </c>
      <c r="I51" s="11" t="str">
        <v>Inventory and source metadata only</v>
      </c>
      <c r="J51" s="11" t="str">
        <v>No xLog scoring acceptance</v>
      </c>
      <c r="K51" s="11" t="str">
        <v>No xLog mutation/export acceptance</v>
      </c>
      <c r="L51" s="11" t="str">
        <v>Not accepted</v>
      </c>
      <c r="M51" s="11" t="str">
        <v>Audit rule authority, implement family layers and independent mutation/export/operator cases.</v>
      </c>
      <c r="N51" s="12" t="str">
        <v>E02</v>
      </c>
      <c r="O51" s="12" t="str">
        <v>E01</v>
      </c>
      <c r="P51" s="11" t="str">
        <v>eudx.py at pinned source</v>
      </c>
      <c r="Q51" s="11" t="str">
        <v>ae47db27143eebf8a0651ae023b3250058b81e14aa7e2d868a7777ace2975ae0</v>
      </c>
    </row>
    <row r="52" ht="72" customHeight="1">
      <c r="A52" s="11" t="n">
        <v>47</v>
      </c>
      <c r="B52" s="11" t="str">
        <v>euhfc</v>
      </c>
      <c r="C52" s="11" t="str">
        <v>EUHFC</v>
      </c>
      <c r="D52" s="11" t="str">
        <v>BOTH</v>
      </c>
      <c r="E52" s="11" t="str">
        <v>Lic. Year (2 digits)</v>
      </c>
      <c r="F52" s="11" t="str">
        <v>once-per-band-and-mode</v>
      </c>
      <c r="G52" s="11" t="str">
        <v>Pending activation</v>
      </c>
      <c r="H52" s="11" t="str">
        <v>Not implemented</v>
      </c>
      <c r="I52" s="11" t="str">
        <v>Inventory and source metadata only</v>
      </c>
      <c r="J52" s="11" t="str">
        <v>No xLog scoring acceptance</v>
      </c>
      <c r="K52" s="11" t="str">
        <v>No xLog mutation/export acceptance</v>
      </c>
      <c r="L52" s="11" t="str">
        <v>Not accepted</v>
      </c>
      <c r="M52" s="11" t="str">
        <v>Audit rule authority, implement family layers and independent mutation/export/operator cases.</v>
      </c>
      <c r="N52" s="12" t="str">
        <v>E02</v>
      </c>
      <c r="O52" s="12" t="str">
        <v>E01</v>
      </c>
      <c r="P52" s="11" t="str">
        <v>euhfc.py at pinned source</v>
      </c>
      <c r="Q52" s="11" t="str">
        <v>2bec874fc12149a4ab76683b30459141c49f13f5d8423b2dd7c7e263ff68b683</v>
      </c>
    </row>
    <row r="53" ht="72" customHeight="1">
      <c r="A53" s="11" t="n">
        <v>48</v>
      </c>
      <c r="B53" s="11" t="str">
        <v>general_logging</v>
      </c>
      <c r="C53" s="11" t="str">
        <v>General Logging</v>
      </c>
      <c r="D53" s="11" t="str">
        <v>BOTH</v>
      </c>
      <c r="E53" s="11" t="str"/>
      <c r="F53" s="11" t="str">
        <v>no-duplicate-checking</v>
      </c>
      <c r="G53" s="11" t="str">
        <v>Pending activation</v>
      </c>
      <c r="H53" s="11" t="str">
        <v>Not implemented</v>
      </c>
      <c r="I53" s="11" t="str">
        <v>Inventory and source metadata only</v>
      </c>
      <c r="J53" s="11" t="str">
        <v>No xLog scoring acceptance</v>
      </c>
      <c r="K53" s="11" t="str">
        <v>No xLog mutation/export acceptance</v>
      </c>
      <c r="L53" s="11" t="str">
        <v>Not accepted</v>
      </c>
      <c r="M53" s="11" t="str">
        <v>Explicit normal-logger equivalence/import disposition required.</v>
      </c>
      <c r="N53" s="12" t="str">
        <v>E02</v>
      </c>
      <c r="O53" s="12" t="str">
        <v>E01</v>
      </c>
      <c r="P53" s="11" t="str">
        <v>general_logging.py at pinned source</v>
      </c>
      <c r="Q53" s="11" t="str">
        <v>e016498859d98cc915c2e1bfd1c3aa616fcba827c579ede193347ef39766f26d</v>
      </c>
    </row>
    <row r="54" ht="72" customHeight="1">
      <c r="A54" s="11" t="n">
        <v>49</v>
      </c>
      <c r="B54" s="11" t="str">
        <v>hadx</v>
      </c>
      <c r="C54" s="11" t="str">
        <v>HA DX</v>
      </c>
      <c r="D54" s="11" t="str">
        <v>BOTH</v>
      </c>
      <c r="E54" s="11" t="str">
        <v># or County</v>
      </c>
      <c r="F54" s="11" t="str">
        <v>once-per-band-and-mode</v>
      </c>
      <c r="G54" s="11" t="str">
        <v>Pending activation</v>
      </c>
      <c r="H54" s="11" t="str">
        <v>Not implemented</v>
      </c>
      <c r="I54" s="11" t="str">
        <v>Inventory and source metadata only</v>
      </c>
      <c r="J54" s="11" t="str">
        <v>No xLog scoring acceptance</v>
      </c>
      <c r="K54" s="11" t="str">
        <v>No xLog mutation/export acceptance</v>
      </c>
      <c r="L54" s="11" t="str">
        <v>Not accepted</v>
      </c>
      <c r="M54" s="11" t="str">
        <v>Audit rule authority, implement family layers and independent mutation/export/operator cases.</v>
      </c>
      <c r="N54" s="12" t="str">
        <v>E02</v>
      </c>
      <c r="O54" s="12" t="str">
        <v>E01</v>
      </c>
      <c r="P54" s="11" t="str">
        <v>hadx.py at pinned source</v>
      </c>
      <c r="Q54" s="11" t="str">
        <v>4a5d1d86471a8e4e41cf163aafa32539efc5bb57056c20efc298478024799812</v>
      </c>
    </row>
    <row r="55" ht="72" customHeight="1">
      <c r="A55" s="11" t="n">
        <v>50</v>
      </c>
      <c r="B55" s="11" t="str">
        <v>helvetia</v>
      </c>
      <c r="C55" s="11" t="str">
        <v>HELVETIA</v>
      </c>
      <c r="D55" s="11" t="str">
        <v>BOTH</v>
      </c>
      <c r="E55" s="11" t="str">
        <v>Canton or #</v>
      </c>
      <c r="F55" s="11" t="str">
        <v>once-per-band-and-mode</v>
      </c>
      <c r="G55" s="11" t="str">
        <v>Pending activation</v>
      </c>
      <c r="H55" s="11" t="str">
        <v>Not implemented</v>
      </c>
      <c r="I55" s="11" t="str">
        <v>Inventory and source metadata only</v>
      </c>
      <c r="J55" s="11" t="str">
        <v>No xLog scoring acceptance</v>
      </c>
      <c r="K55" s="11" t="str">
        <v>No xLog mutation/export acceptance</v>
      </c>
      <c r="L55" s="11" t="str">
        <v>Not accepted</v>
      </c>
      <c r="M55" s="11" t="str">
        <v>Audit rule authority, implement family layers and independent mutation/export/operator cases.</v>
      </c>
      <c r="N55" s="12" t="str">
        <v>E02</v>
      </c>
      <c r="O55" s="12" t="str">
        <v>E01</v>
      </c>
      <c r="P55" s="11" t="str">
        <v>helvetia.py at pinned source</v>
      </c>
      <c r="Q55" s="11" t="str">
        <v>104e062b918a78f442f1b23bdb9e08963477a63364367389a8148d3180651c71</v>
      </c>
    </row>
    <row r="56" ht="72" customHeight="1">
      <c r="A56" s="11" t="n">
        <v>51</v>
      </c>
      <c r="B56" s="11" t="str">
        <v>iaru_fieldday_r1_cw</v>
      </c>
      <c r="C56" s="11" t="str">
        <v>IARU FIELDDAY R1 DARC CW</v>
      </c>
      <c r="D56" s="11" t="str">
        <v>CW</v>
      </c>
      <c r="E56" s="11" t="str">
        <v>#</v>
      </c>
      <c r="F56" s="11" t="str">
        <v>once-per-band</v>
      </c>
      <c r="G56" s="11" t="str">
        <v>Pending activation</v>
      </c>
      <c r="H56" s="11" t="str">
        <v>Not implemented</v>
      </c>
      <c r="I56" s="11" t="str">
        <v>Inventory and source metadata only</v>
      </c>
      <c r="J56" s="11" t="str">
        <v>No xLog scoring acceptance</v>
      </c>
      <c r="K56" s="11" t="str">
        <v>No xLog mutation/export acceptance</v>
      </c>
      <c r="L56" s="11" t="str">
        <v>Not accepted</v>
      </c>
      <c r="M56" s="11" t="str">
        <v>Audit rule authority, implement family layers and independent mutation/export/operator cases.</v>
      </c>
      <c r="N56" s="12" t="str">
        <v>E02</v>
      </c>
      <c r="O56" s="12" t="str">
        <v>E01</v>
      </c>
      <c r="P56" s="11" t="str">
        <v>iaru_fieldday_r1_cw.py at pinned source</v>
      </c>
      <c r="Q56" s="11" t="str">
        <v>6a7d67bb87e31ec32fecd4bdd3cbdecb712e2377b773203170d0ac8bf2fcdb9e</v>
      </c>
    </row>
    <row r="57" ht="72" customHeight="1">
      <c r="A57" s="11" t="n">
        <v>52</v>
      </c>
      <c r="B57" s="11" t="str">
        <v>iaru_fieldday_r1_ssb</v>
      </c>
      <c r="C57" s="11" t="str">
        <v>IARU FIELDDAY R1 DARC SSB</v>
      </c>
      <c r="D57" s="11" t="str">
        <v>SSB</v>
      </c>
      <c r="E57" s="11" t="str">
        <v>#</v>
      </c>
      <c r="F57" s="11" t="str">
        <v>once-per-band</v>
      </c>
      <c r="G57" s="11" t="str">
        <v>Pending activation</v>
      </c>
      <c r="H57" s="11" t="str">
        <v>Not implemented</v>
      </c>
      <c r="I57" s="11" t="str">
        <v>Inventory and source metadata only</v>
      </c>
      <c r="J57" s="11" t="str">
        <v>No xLog scoring acceptance</v>
      </c>
      <c r="K57" s="11" t="str">
        <v>No xLog mutation/export acceptance</v>
      </c>
      <c r="L57" s="11" t="str">
        <v>Not accepted</v>
      </c>
      <c r="M57" s="11" t="str">
        <v>Audit rule authority, implement family layers and independent mutation/export/operator cases.</v>
      </c>
      <c r="N57" s="12" t="str">
        <v>E02</v>
      </c>
      <c r="O57" s="12" t="str">
        <v>E01</v>
      </c>
      <c r="P57" s="11" t="str">
        <v>iaru_fieldday_r1_ssb.py at pinned source</v>
      </c>
      <c r="Q57" s="11" t="str">
        <v>296e36f4786551a80666a99f1a6f6dd58d8195035faba545028add495658e06f</v>
      </c>
    </row>
    <row r="58" ht="72" customHeight="1">
      <c r="A58" s="11" t="n">
        <v>53</v>
      </c>
      <c r="B58" s="11" t="str">
        <v>iaru_hf</v>
      </c>
      <c r="C58" s="11" t="str">
        <v>IARU HF</v>
      </c>
      <c r="D58" s="11" t="str">
        <v>BOTH</v>
      </c>
      <c r="E58" s="11" t="str">
        <v>ITU Zone</v>
      </c>
      <c r="F58" s="11" t="str">
        <v>once-per-band-and-mode</v>
      </c>
      <c r="G58" s="11" t="str">
        <v>Pending activation</v>
      </c>
      <c r="H58" s="11" t="str">
        <v>Not implemented</v>
      </c>
      <c r="I58" s="11" t="str">
        <v>Inventory and source metadata only</v>
      </c>
      <c r="J58" s="11" t="str">
        <v>No xLog scoring acceptance</v>
      </c>
      <c r="K58" s="11" t="str">
        <v>No xLog mutation/export acceptance</v>
      </c>
      <c r="L58" s="11" t="str">
        <v>Not accepted</v>
      </c>
      <c r="M58" s="11" t="str">
        <v>Audit rule authority, implement family layers and independent mutation/export/operator cases.</v>
      </c>
      <c r="N58" s="12" t="str">
        <v>E02</v>
      </c>
      <c r="O58" s="12" t="str">
        <v>E01</v>
      </c>
      <c r="P58" s="11" t="str">
        <v>iaru_hf.py at pinned source</v>
      </c>
      <c r="Q58" s="11" t="str">
        <v>f8697ee440ee60b85ab88ea499f749294cf379130fa5a4b90fe7ccdb63bc3cde</v>
      </c>
    </row>
    <row r="59" ht="72" customHeight="1">
      <c r="A59" s="11" t="n">
        <v>54</v>
      </c>
      <c r="B59" s="11" t="str">
        <v>icwc_mst</v>
      </c>
      <c r="C59" s="11" t="str">
        <v>ICWC Medium Speed Test</v>
      </c>
      <c r="D59" s="11" t="str">
        <v>CW</v>
      </c>
      <c r="E59" s="11" t="str">
        <v>NAME</v>
      </c>
      <c r="F59" s="11" t="str">
        <v>once-per-band</v>
      </c>
      <c r="G59" s="11" t="str">
        <v>Pending activation</v>
      </c>
      <c r="H59" s="11" t="str">
        <v>Not implemented</v>
      </c>
      <c r="I59" s="11" t="str">
        <v>Inventory and source metadata only</v>
      </c>
      <c r="J59" s="11" t="str">
        <v>No xLog scoring acceptance</v>
      </c>
      <c r="K59" s="11" t="str">
        <v>No xLog mutation/export acceptance</v>
      </c>
      <c r="L59" s="11" t="str">
        <v>Not accepted</v>
      </c>
      <c r="M59" s="11" t="str">
        <v>Audit rule authority, implement family layers and independent mutation/export/operator cases.</v>
      </c>
      <c r="N59" s="12" t="str">
        <v>E02</v>
      </c>
      <c r="O59" s="12" t="str">
        <v>E01</v>
      </c>
      <c r="P59" s="11" t="str">
        <v>icwc_mst.py at pinned source</v>
      </c>
      <c r="Q59" s="11" t="str">
        <v>4fcf5971b539a3f7634fea21a752d1a5915d8d11f08c14d0a608a62d57ffb8ca</v>
      </c>
    </row>
    <row r="60" ht="72" customHeight="1">
      <c r="A60" s="11" t="n">
        <v>55</v>
      </c>
      <c r="B60" s="11" t="str">
        <v>jidx_cw</v>
      </c>
      <c r="C60" s="11" t="str">
        <v>JIDX CW</v>
      </c>
      <c r="D60" s="11" t="str">
        <v>CW</v>
      </c>
      <c r="E60" s="11" t="str">
        <v>Prefecture or CQ Zone</v>
      </c>
      <c r="F60" s="11" t="str">
        <v>once-per-band</v>
      </c>
      <c r="G60" s="11" t="str">
        <v>Active preview</v>
      </c>
      <c r="H60" s="11" t="str">
        <v>Official-rules practice preview</v>
      </c>
      <c r="I60" s="11" t="str">
        <v>Core, store, worker, client, shared practice UI; Cabrillo + ADIF</v>
      </c>
      <c r="J60" s="11" t="str">
        <v>Independent arithmetic; official 2026-10 rules</v>
      </c>
      <c r="K60" s="11" t="str">
        <v>CW non-JA→JA lifecycle; all four session-create/client-decode combinations; bounded UI corrections</v>
      </c>
      <c r="L60" s="11" t="str">
        <v>Full JIDX Run/S&amp;P open</v>
      </c>
      <c r="M60" s="11" t="str">
        <v>Do not expand bounded mode/role fixture into all-role lifecycle parity. Complete operator/category/maritime/export and packaged acceptance.</v>
      </c>
      <c r="N60" s="12" t="str">
        <v>E09</v>
      </c>
      <c r="O60" s="12" t="str">
        <v>E02</v>
      </c>
      <c r="P60" s="11" t="str">
        <v>jidx_cw.py at pinned source</v>
      </c>
      <c r="Q60" s="11" t="str">
        <v>457e6ba45da31a90c06fc9508dee8d1dccf053b0676083c2472082dd61c18e53</v>
      </c>
    </row>
    <row r="61" ht="72" customHeight="1">
      <c r="A61" s="11" t="n">
        <v>56</v>
      </c>
      <c r="B61" s="11" t="str">
        <v>jidx_ph</v>
      </c>
      <c r="C61" s="11" t="str">
        <v>JIDX PH</v>
      </c>
      <c r="D61" s="11" t="str">
        <v>SSB</v>
      </c>
      <c r="E61" s="11" t="str">
        <v>Prefecture or CQ Zone</v>
      </c>
      <c r="F61" s="11" t="str">
        <v>once-per-band</v>
      </c>
      <c r="G61" s="11" t="str">
        <v>Active preview</v>
      </c>
      <c r="H61" s="11" t="str">
        <v>Official-rules practice preview</v>
      </c>
      <c r="I61" s="11" t="str">
        <v>Core, store, worker, client, shared practice UI; Cabrillo + ADIF</v>
      </c>
      <c r="J61" s="11" t="str">
        <v>Independent arithmetic; official 2026-10 rules</v>
      </c>
      <c r="K61" s="11" t="str">
        <v>CW non-JA→JA lifecycle; all four session-create/client-decode combinations; bounded UI corrections</v>
      </c>
      <c r="L61" s="11" t="str">
        <v>Full JIDX Run/S&amp;P open</v>
      </c>
      <c r="M61" s="11" t="str">
        <v>Do not expand bounded mode/role fixture into all-role lifecycle parity. Complete operator/category/maritime/export and packaged acceptance.</v>
      </c>
      <c r="N61" s="12" t="str">
        <v>E09</v>
      </c>
      <c r="O61" s="12" t="str">
        <v>E02</v>
      </c>
      <c r="P61" s="11" t="str">
        <v>jidx_ph.py at pinned source</v>
      </c>
      <c r="Q61" s="11" t="str">
        <v>20b3e8d7154d51c264817a5755d753c2be4bce9896a64d10cb63478837e06860</v>
      </c>
    </row>
    <row r="62" ht="72" customHeight="1">
      <c r="A62" s="11" t="n">
        <v>57</v>
      </c>
      <c r="B62" s="11" t="str">
        <v>john_moyle_field_day</v>
      </c>
      <c r="C62" s="11" t="str">
        <v>John Moyle Field Day</v>
      </c>
      <c r="D62" s="11" t="str">
        <v>BOTH</v>
      </c>
      <c r="E62" s="11" t="str">
        <v>#</v>
      </c>
      <c r="F62" s="11" t="str">
        <v>plugin-specific-dispatch-unverified</v>
      </c>
      <c r="G62" s="11" t="str">
        <v>Pending activation</v>
      </c>
      <c r="H62" s="11" t="str">
        <v>Not implemented</v>
      </c>
      <c r="I62" s="11" t="str">
        <v>Inventory and source metadata only</v>
      </c>
      <c r="J62" s="11" t="str">
        <v>No xLog scoring acceptance</v>
      </c>
      <c r="K62" s="11" t="str">
        <v>No xLog mutation/export acceptance</v>
      </c>
      <c r="L62" s="11" t="str">
        <v>Not accepted</v>
      </c>
      <c r="M62" s="11" t="str">
        <v>Audit custom duplicate logic before implementation; no generic-policy substitution.</v>
      </c>
      <c r="N62" s="12" t="str">
        <v>E02</v>
      </c>
      <c r="O62" s="12" t="str">
        <v>E01</v>
      </c>
      <c r="P62" s="11" t="str">
        <v>john_moyle_field_day.py at pinned source</v>
      </c>
      <c r="Q62" s="11" t="str">
        <v>1e0c771ffaec9a889470bfc8d62962b62e4426c2c97b76f5abe5371db90eb5a4</v>
      </c>
    </row>
    <row r="63" ht="72" customHeight="1">
      <c r="A63" s="11" t="n">
        <v>58</v>
      </c>
      <c r="B63" s="11" t="str">
        <v>k1usn_sst</v>
      </c>
      <c r="C63" s="11" t="str">
        <v>K1USN SLOW SPEED TEST</v>
      </c>
      <c r="D63" s="11" t="str">
        <v>CW</v>
      </c>
      <c r="E63" s="11" t="str">
        <v>Name + SPC</v>
      </c>
      <c r="F63" s="11" t="str">
        <v>once-per-band</v>
      </c>
      <c r="G63" s="11" t="str">
        <v>Pending activation</v>
      </c>
      <c r="H63" s="11" t="str">
        <v>Not implemented</v>
      </c>
      <c r="I63" s="11" t="str">
        <v>Inventory and source metadata only</v>
      </c>
      <c r="J63" s="11" t="str">
        <v>No xLog scoring acceptance</v>
      </c>
      <c r="K63" s="11" t="str">
        <v>No xLog mutation/export acceptance</v>
      </c>
      <c r="L63" s="11" t="str">
        <v>Not accepted</v>
      </c>
      <c r="M63" s="11" t="str">
        <v>Audit rule authority, implement family layers and independent mutation/export/operator cases.</v>
      </c>
      <c r="N63" s="12" t="str">
        <v>E02</v>
      </c>
      <c r="O63" s="12" t="str">
        <v>E01</v>
      </c>
      <c r="P63" s="11" t="str">
        <v>k1usn_sst.py at pinned source</v>
      </c>
      <c r="Q63" s="11" t="str">
        <v>73cf9b72f53c6bd65d1f804f28b4ea80f6bf82d2b8b08406b2153691fd1d8120</v>
      </c>
    </row>
    <row r="64" ht="72" customHeight="1">
      <c r="A64" s="11" t="n">
        <v>59</v>
      </c>
      <c r="B64" s="11" t="str">
        <v>labre_rs_digi</v>
      </c>
      <c r="C64" s="11" t="str">
        <v>LABRE-RS Digi</v>
      </c>
      <c r="D64" s="11" t="str">
        <v>RTTY</v>
      </c>
      <c r="E64" s="11" t="str">
        <v>4-character grid square</v>
      </c>
      <c r="F64" s="11" t="str">
        <v>once-per-band</v>
      </c>
      <c r="G64" s="11" t="str">
        <v>Pending activation</v>
      </c>
      <c r="H64" s="11" t="str">
        <v>Not implemented</v>
      </c>
      <c r="I64" s="11" t="str">
        <v>Inventory and source metadata only</v>
      </c>
      <c r="J64" s="11" t="str">
        <v>No xLog scoring acceptance</v>
      </c>
      <c r="K64" s="11" t="str">
        <v>No xLog mutation/export acceptance</v>
      </c>
      <c r="L64" s="11" t="str">
        <v>Not accepted</v>
      </c>
      <c r="M64" s="11" t="str">
        <v>Digital import/send/output contract and isolated operator tests required.</v>
      </c>
      <c r="N64" s="12" t="str">
        <v>E02</v>
      </c>
      <c r="O64" s="12" t="str">
        <v>E01</v>
      </c>
      <c r="P64" s="11" t="str">
        <v>labre_rs_digi.py at pinned source</v>
      </c>
      <c r="Q64" s="11" t="str">
        <v>ca3d9eb556a01fa830ab0695a1c156a937e49175e8237c622e8ef70e6a0e603c</v>
      </c>
    </row>
    <row r="65" ht="72" customHeight="1">
      <c r="A65" s="11" t="n">
        <v>60</v>
      </c>
      <c r="B65" s="11" t="str">
        <v>lz-dx</v>
      </c>
      <c r="C65" s="11" t="str">
        <v>LZ DX</v>
      </c>
      <c r="D65" s="11" t="str">
        <v>BOTH</v>
      </c>
      <c r="E65" s="11" t="str">
        <v>District or ITU-Zone</v>
      </c>
      <c r="F65" s="11" t="str">
        <v>once-per-band-and-mode</v>
      </c>
      <c r="G65" s="11" t="str">
        <v>Pending activation</v>
      </c>
      <c r="H65" s="11" t="str">
        <v>Not implemented</v>
      </c>
      <c r="I65" s="11" t="str">
        <v>Inventory and source metadata only</v>
      </c>
      <c r="J65" s="11" t="str">
        <v>No xLog scoring acceptance</v>
      </c>
      <c r="K65" s="11" t="str">
        <v>No xLog mutation/export acceptance</v>
      </c>
      <c r="L65" s="11" t="str">
        <v>Not accepted</v>
      </c>
      <c r="M65" s="11" t="str">
        <v>Audit rule authority, implement family layers and independent mutation/export/operator cases.</v>
      </c>
      <c r="N65" s="12" t="str">
        <v>E02</v>
      </c>
      <c r="O65" s="12" t="str">
        <v>E01</v>
      </c>
      <c r="P65" s="11" t="str">
        <v>lz-dx.py at pinned source</v>
      </c>
      <c r="Q65" s="11" t="str">
        <v>a3f3f6b73c0310d78cbdc42cb234b93990575e67257069c42bbe1ca068ac974b</v>
      </c>
    </row>
    <row r="66" ht="72" customHeight="1">
      <c r="A66" s="11" t="n">
        <v>61</v>
      </c>
      <c r="B66" s="11" t="str">
        <v>nac_vhf</v>
      </c>
      <c r="C66" s="11" t="str">
        <v>NAC VHF</v>
      </c>
      <c r="D66" s="11" t="str">
        <v>BOTH</v>
      </c>
      <c r="E66" s="11" t="str">
        <v># + 6char grid</v>
      </c>
      <c r="F66" s="11" t="str">
        <v>once-per-contest</v>
      </c>
      <c r="G66" s="11" t="str">
        <v>Pending activation</v>
      </c>
      <c r="H66" s="11" t="str">
        <v>Not implemented</v>
      </c>
      <c r="I66" s="11" t="str">
        <v>Inventory and source metadata only</v>
      </c>
      <c r="J66" s="11" t="str">
        <v>No xLog scoring acceptance</v>
      </c>
      <c r="K66" s="11" t="str">
        <v>No xLog mutation/export acceptance</v>
      </c>
      <c r="L66" s="11" t="str">
        <v>Not accepted</v>
      </c>
      <c r="M66" s="11" t="str">
        <v>Audit rule authority, implement family layers and independent mutation/export/operator cases.</v>
      </c>
      <c r="N66" s="12" t="str">
        <v>E02</v>
      </c>
      <c r="O66" s="12" t="str">
        <v>E01</v>
      </c>
      <c r="P66" s="11" t="str">
        <v>nac_vhf.py at pinned source</v>
      </c>
      <c r="Q66" s="11" t="str">
        <v>f5233348c1df52c49c7a43931b3c45023bebf8574d04969c6860a2452e8c54c3</v>
      </c>
    </row>
    <row r="67" ht="72" customHeight="1">
      <c r="A67" s="11" t="n">
        <v>62</v>
      </c>
      <c r="B67" s="11" t="str">
        <v>naqp_cw</v>
      </c>
      <c r="C67" s="11" t="str">
        <v>NAQP CW</v>
      </c>
      <c r="D67" s="11" t="str">
        <v>CW</v>
      </c>
      <c r="E67" s="11" t="str">
        <v>Name or Name + SPC</v>
      </c>
      <c r="F67" s="11" t="str">
        <v>once-per-band</v>
      </c>
      <c r="G67" s="11" t="str">
        <v>Active preview</v>
      </c>
      <c r="H67" s="11" t="str">
        <v>Official-rules plain-logging preview</v>
      </c>
      <c r="I67" s="11" t="str">
        <v>Structured core, store, worker, client, UI; Cabrillo + ADIF</v>
      </c>
      <c r="J67" s="11" t="str">
        <v>Independent arithmetic; official NCJ 2026 rules</v>
      </c>
      <c r="K67" s="11" t="str">
        <v>Worker reset/reopen/replay/edit/delete/export; zero serial policy</v>
      </c>
      <c r="L67" s="11" t="str">
        <v>Candidate repairs; no full operator pass</v>
      </c>
      <c r="M67" s="11" t="str">
        <v>Known call-only duplicate state unchecked in development run 33. Finish rule-owned partial-draft duplicate repair and fresh clean CW/SSB Run/S&amp;P + RTTY logging/export acceptance.</v>
      </c>
      <c r="N67" s="12" t="str">
        <v>E07</v>
      </c>
      <c r="O67" s="12" t="str">
        <v>E01</v>
      </c>
      <c r="P67" s="11" t="str">
        <v>naqp_cw.py at pinned source</v>
      </c>
      <c r="Q67" s="11" t="str">
        <v>84da97206ac651638498812dc7867432c883e88650a86571161ca5e3a72b222b</v>
      </c>
    </row>
    <row r="68" ht="72" customHeight="1">
      <c r="A68" s="11" t="n">
        <v>63</v>
      </c>
      <c r="B68" s="11" t="str">
        <v>naqp_rtty</v>
      </c>
      <c r="C68" s="11" t="str">
        <v>NAQP RTTY</v>
      </c>
      <c r="D68" s="11" t="str">
        <v>RTTY</v>
      </c>
      <c r="E68" s="11" t="str">
        <v>Name or Name + SPC</v>
      </c>
      <c r="F68" s="11" t="str">
        <v>once-per-band</v>
      </c>
      <c r="G68" s="11" t="str">
        <v>Active preview</v>
      </c>
      <c r="H68" s="11" t="str">
        <v>Official-rules plain-logging preview</v>
      </c>
      <c r="I68" s="11" t="str">
        <v>Structured core, store, worker, client, UI; Cabrillo + ADIF</v>
      </c>
      <c r="J68" s="11" t="str">
        <v>Independent arithmetic; official NCJ 2026 rules</v>
      </c>
      <c r="K68" s="11" t="str">
        <v>Worker reset/reopen/replay/edit/delete/export; zero serial policy</v>
      </c>
      <c r="L68" s="11" t="str">
        <v>Candidate repairs; no full operator pass</v>
      </c>
      <c r="M68" s="11" t="str">
        <v>Known call-only duplicate state unchecked in development run 33. Finish rule-owned partial-draft duplicate repair and fresh clean CW/SSB Run/S&amp;P + RTTY logging/export acceptance.</v>
      </c>
      <c r="N68" s="12" t="str">
        <v>E07</v>
      </c>
      <c r="O68" s="12" t="str">
        <v>E01</v>
      </c>
      <c r="P68" s="11" t="str">
        <v>naqp_rtty.py at pinned source</v>
      </c>
      <c r="Q68" s="11" t="str">
        <v>f74bc7f40d257e0f3db7270c8e7b4bec00d6c50c11af37baa8aaa8a7f3f131c1</v>
      </c>
    </row>
    <row r="69" ht="72" customHeight="1">
      <c r="A69" s="11" t="n">
        <v>64</v>
      </c>
      <c r="B69" s="11" t="str">
        <v>naqp_ssb</v>
      </c>
      <c r="C69" s="11" t="str">
        <v>NAQP SSB</v>
      </c>
      <c r="D69" s="11" t="str">
        <v>SSB</v>
      </c>
      <c r="E69" s="11" t="str">
        <v>Name or Name + SPC</v>
      </c>
      <c r="F69" s="11" t="str">
        <v>once-per-band</v>
      </c>
      <c r="G69" s="11" t="str">
        <v>Active preview</v>
      </c>
      <c r="H69" s="11" t="str">
        <v>Official-rules plain-logging preview</v>
      </c>
      <c r="I69" s="11" t="str">
        <v>Structured core, store, worker, client, UI; Cabrillo + ADIF</v>
      </c>
      <c r="J69" s="11" t="str">
        <v>Independent arithmetic; official NCJ 2026 rules</v>
      </c>
      <c r="K69" s="11" t="str">
        <v>Worker reset/reopen/replay/edit/delete/export; zero serial policy</v>
      </c>
      <c r="L69" s="11" t="str">
        <v>Candidate repairs; no full operator pass</v>
      </c>
      <c r="M69" s="11" t="str">
        <v>Known call-only duplicate state unchecked in development run 33. Finish rule-owned partial-draft duplicate repair and fresh clean CW/SSB Run/S&amp;P + RTTY logging/export acceptance.</v>
      </c>
      <c r="N69" s="12" t="str">
        <v>E07</v>
      </c>
      <c r="O69" s="12" t="str">
        <v>E01</v>
      </c>
      <c r="P69" s="11" t="str">
        <v>naqp_ssb.py at pinned source</v>
      </c>
      <c r="Q69" s="11" t="str">
        <v>551b57f984cbaf4697a3ae9b146ad6f3519a14cc8df0dc9c3f30a7c5fea7c2bc</v>
      </c>
    </row>
    <row r="70" ht="72" customHeight="1">
      <c r="A70" s="11" t="n">
        <v>65</v>
      </c>
      <c r="B70" s="11" t="str">
        <v>oceania_dx_cw</v>
      </c>
      <c r="C70" s="11" t="str">
        <v>Oceania DX CW</v>
      </c>
      <c r="D70" s="11" t="str">
        <v>CW</v>
      </c>
      <c r="E70" s="11" t="str">
        <v>#</v>
      </c>
      <c r="F70" s="11" t="str">
        <v>once-per-band</v>
      </c>
      <c r="G70" s="11" t="str">
        <v>Active preview</v>
      </c>
      <c r="H70" s="11" t="str">
        <v>Source-derived pilot</v>
      </c>
      <c r="I70" s="11" t="str">
        <v>Core, store, worker, client, shared UI; Cabrillo + ADIF</v>
      </c>
      <c r="J70" s="11" t="str">
        <v>Independent arithmetic tested</v>
      </c>
      <c r="K70" s="11" t="str">
        <v>Store + local-worker lifecycle and source-derived export tests</v>
      </c>
      <c r="L70" s="11" t="str">
        <v>Plain Log only; full Run/S&amp;P open</v>
      </c>
      <c r="M70" s="11" t="str">
        <v>Audit family operator intents, current sponsor rules and category eligibility; run coupled operator/platform package cases.</v>
      </c>
      <c r="N70" s="12" t="str">
        <v>E05</v>
      </c>
      <c r="O70" s="12" t="str">
        <v>E02</v>
      </c>
      <c r="P70" s="11" t="str">
        <v>oceania_dx_cw.py at pinned source</v>
      </c>
      <c r="Q70" s="11" t="str">
        <v>51d3234f98c3c7ae4c5343cef512545c1a4f41e37a685426724b860def85d664</v>
      </c>
    </row>
    <row r="71" ht="72" customHeight="1">
      <c r="A71" s="11" t="n">
        <v>66</v>
      </c>
      <c r="B71" s="11" t="str">
        <v>oceania_dx_ssb</v>
      </c>
      <c r="C71" s="11" t="str">
        <v>Oceania DX SSB</v>
      </c>
      <c r="D71" s="11" t="str">
        <v>SSB</v>
      </c>
      <c r="E71" s="11" t="str">
        <v>#</v>
      </c>
      <c r="F71" s="11" t="str">
        <v>once-per-band</v>
      </c>
      <c r="G71" s="11" t="str">
        <v>Active preview</v>
      </c>
      <c r="H71" s="11" t="str">
        <v>Source-derived pilot</v>
      </c>
      <c r="I71" s="11" t="str">
        <v>Core, store, worker, client, shared UI; Cabrillo + ADIF</v>
      </c>
      <c r="J71" s="11" t="str">
        <v>Independent arithmetic tested</v>
      </c>
      <c r="K71" s="11" t="str">
        <v>Store + local-worker lifecycle and source-derived export tests</v>
      </c>
      <c r="L71" s="11" t="str">
        <v>Plain Log only; full Run/S&amp;P open</v>
      </c>
      <c r="M71" s="11" t="str">
        <v>Audit family operator intents, current sponsor rules and category eligibility; run coupled operator/platform package cases.</v>
      </c>
      <c r="N71" s="12" t="str">
        <v>E05</v>
      </c>
      <c r="O71" s="12" t="str">
        <v>E02</v>
      </c>
      <c r="P71" s="11" t="str">
        <v>oceania_dx_ssb.py at pinned source</v>
      </c>
      <c r="Q71" s="11" t="str">
        <v>f60aee6006c4f2da8ee3fdb7d2c2c755a43a8b07897fdd3b6ea1d4592f81c1ee</v>
      </c>
    </row>
    <row r="72" ht="72" customHeight="1">
      <c r="A72" s="11" t="n">
        <v>67</v>
      </c>
      <c r="B72" s="11" t="str">
        <v>ok1wc</v>
      </c>
      <c r="C72" s="11" t="str">
        <v>OK1WC Memorial Contest (MWC)</v>
      </c>
      <c r="D72" s="11" t="str">
        <v>CW</v>
      </c>
      <c r="E72" s="11" t="str">
        <v>#</v>
      </c>
      <c r="F72" s="11" t="str">
        <v>once-per-band</v>
      </c>
      <c r="G72" s="11" t="str">
        <v>Pending activation</v>
      </c>
      <c r="H72" s="11" t="str">
        <v>Not implemented</v>
      </c>
      <c r="I72" s="11" t="str">
        <v>Inventory and source metadata only</v>
      </c>
      <c r="J72" s="11" t="str">
        <v>No xLog scoring acceptance</v>
      </c>
      <c r="K72" s="11" t="str">
        <v>No xLog mutation/export acceptance</v>
      </c>
      <c r="L72" s="11" t="str">
        <v>Not accepted</v>
      </c>
      <c r="M72" s="11" t="str">
        <v>Audit rule authority, implement family layers and independent mutation/export/operator cases.</v>
      </c>
      <c r="N72" s="12" t="str">
        <v>E02</v>
      </c>
      <c r="O72" s="12" t="str">
        <v>E01</v>
      </c>
      <c r="P72" s="11" t="str">
        <v>ok1wc.py at pinned source</v>
      </c>
      <c r="Q72" s="11" t="str">
        <v>77d0c2e2dc72d43d56433d01b55222cc57b4215a67a7eecc910fa3d91b6a44ea</v>
      </c>
    </row>
    <row r="73" ht="72" customHeight="1">
      <c r="A73" s="11" t="n">
        <v>68</v>
      </c>
      <c r="B73" s="11" t="str">
        <v>pacc</v>
      </c>
      <c r="C73" s="11" t="str">
        <v>PACC</v>
      </c>
      <c r="D73" s="11" t="str">
        <v>BOTH</v>
      </c>
      <c r="E73" s="11" t="str">
        <v># or Province</v>
      </c>
      <c r="F73" s="11" t="str">
        <v>once-per-band-and-mode</v>
      </c>
      <c r="G73" s="11" t="str">
        <v>Pending activation</v>
      </c>
      <c r="H73" s="11" t="str">
        <v>Not implemented</v>
      </c>
      <c r="I73" s="11" t="str">
        <v>Inventory and source metadata only</v>
      </c>
      <c r="J73" s="11" t="str">
        <v>No xLog scoring acceptance</v>
      </c>
      <c r="K73" s="11" t="str">
        <v>No xLog mutation/export acceptance</v>
      </c>
      <c r="L73" s="11" t="str">
        <v>Not accepted</v>
      </c>
      <c r="M73" s="11" t="str">
        <v>Audit rule authority, implement family layers and independent mutation/export/operator cases.</v>
      </c>
      <c r="N73" s="12" t="str">
        <v>E02</v>
      </c>
      <c r="O73" s="12" t="str">
        <v>E01</v>
      </c>
      <c r="P73" s="11" t="str">
        <v>pacc.py at pinned source</v>
      </c>
      <c r="Q73" s="11" t="str">
        <v>0e7e85adba1a463c1d8e22648378badda26b3dad651cd74f7044209faccabb1a</v>
      </c>
    </row>
    <row r="74" ht="72" customHeight="1">
      <c r="A74" s="11" t="n">
        <v>69</v>
      </c>
      <c r="B74" s="11" t="str">
        <v>phone_weekly_test</v>
      </c>
      <c r="C74" s="11" t="str">
        <v>PHONE WEEKLY TEST</v>
      </c>
      <c r="D74" s="11" t="str">
        <v>SSB</v>
      </c>
      <c r="E74" s="11" t="str">
        <v>Name or Name + SPC</v>
      </c>
      <c r="F74" s="11" t="str">
        <v>once-per-band</v>
      </c>
      <c r="G74" s="11" t="str">
        <v>Pending activation</v>
      </c>
      <c r="H74" s="11" t="str">
        <v>Not implemented</v>
      </c>
      <c r="I74" s="11" t="str">
        <v>Inventory and source metadata only</v>
      </c>
      <c r="J74" s="11" t="str">
        <v>No xLog scoring acceptance</v>
      </c>
      <c r="K74" s="11" t="str">
        <v>No xLog mutation/export acceptance</v>
      </c>
      <c r="L74" s="11" t="str">
        <v>Not accepted</v>
      </c>
      <c r="M74" s="11" t="str">
        <v>Audit rule authority, implement family layers and independent mutation/export/operator cases.</v>
      </c>
      <c r="N74" s="12" t="str">
        <v>E02</v>
      </c>
      <c r="O74" s="12" t="str">
        <v>E01</v>
      </c>
      <c r="P74" s="11" t="str">
        <v>phone_weekly_test.py at pinned source</v>
      </c>
      <c r="Q74" s="11" t="str">
        <v>94770e46c5f16dae2d1bb0482f37011ff48678b49fa547c28cb4902f35bdefae</v>
      </c>
    </row>
    <row r="75" ht="72" customHeight="1">
      <c r="A75" s="11" t="n">
        <v>70</v>
      </c>
      <c r="B75" s="11" t="str">
        <v>qso_party_rst</v>
      </c>
      <c r="C75" s="11" t="str">
        <v>QSO PARTY RST</v>
      </c>
      <c r="D75" s="11" t="str">
        <v>BOTH</v>
      </c>
      <c r="E75" s="11" t="str">
        <v>County</v>
      </c>
      <c r="F75" s="11" t="str">
        <v>no-duplicate-checking</v>
      </c>
      <c r="G75" s="11" t="str">
        <v>Pending activation</v>
      </c>
      <c r="H75" s="11" t="str">
        <v>Not implemented</v>
      </c>
      <c r="I75" s="11" t="str">
        <v>Inventory and source metadata only</v>
      </c>
      <c r="J75" s="11" t="str">
        <v>No xLog scoring acceptance</v>
      </c>
      <c r="K75" s="11" t="str">
        <v>No xLog mutation/export acceptance</v>
      </c>
      <c r="L75" s="11" t="str">
        <v>Not accepted</v>
      </c>
      <c r="M75" s="11" t="str">
        <v>Audit rule authority, implement family layers and independent mutation/export/operator cases.</v>
      </c>
      <c r="N75" s="12" t="str">
        <v>E02</v>
      </c>
      <c r="O75" s="12" t="str">
        <v>E01</v>
      </c>
      <c r="P75" s="11" t="str">
        <v>qso_party_rst.py at pinned source</v>
      </c>
      <c r="Q75" s="11" t="str">
        <v>f3d97ca32cdd4a6779153e82d4d75ff1daca2aed27107a514b09e5dcb7e033ef</v>
      </c>
    </row>
    <row r="76" ht="72" customHeight="1">
      <c r="A76" s="11" t="n">
        <v>71</v>
      </c>
      <c r="B76" s="11" t="str">
        <v>qso_party_sn</v>
      </c>
      <c r="C76" s="11" t="str">
        <v>QSO PARTY SN</v>
      </c>
      <c r="D76" s="11" t="str">
        <v>BOTH</v>
      </c>
      <c r="E76" s="11" t="str">
        <v>County</v>
      </c>
      <c r="F76" s="11" t="str">
        <v>no-duplicate-checking</v>
      </c>
      <c r="G76" s="11" t="str">
        <v>Pending activation</v>
      </c>
      <c r="H76" s="11" t="str">
        <v>Not implemented</v>
      </c>
      <c r="I76" s="11" t="str">
        <v>Inventory and source metadata only</v>
      </c>
      <c r="J76" s="11" t="str">
        <v>No xLog scoring acceptance</v>
      </c>
      <c r="K76" s="11" t="str">
        <v>No xLog mutation/export acceptance</v>
      </c>
      <c r="L76" s="11" t="str">
        <v>Not accepted</v>
      </c>
      <c r="M76" s="11" t="str">
        <v>Audit rule authority, implement family layers and independent mutation/export/operator cases.</v>
      </c>
      <c r="N76" s="12" t="str">
        <v>E02</v>
      </c>
      <c r="O76" s="12" t="str">
        <v>E01</v>
      </c>
      <c r="P76" s="11" t="str">
        <v>qso_party_sn.py at pinned source</v>
      </c>
      <c r="Q76" s="11" t="str">
        <v>1d1ba1669c7308eff804b1c589a35fa523df210c23e1c88db46070e247330325</v>
      </c>
    </row>
    <row r="77" ht="72" customHeight="1">
      <c r="A77" s="11" t="n">
        <v>72</v>
      </c>
      <c r="B77" s="11" t="str">
        <v>raem</v>
      </c>
      <c r="C77" s="11" t="str">
        <v>RAEM</v>
      </c>
      <c r="D77" s="11" t="str">
        <v>CW</v>
      </c>
      <c r="E77" s="11" t="str">
        <v>33N117W</v>
      </c>
      <c r="F77" s="11" t="str">
        <v>once-per-band</v>
      </c>
      <c r="G77" s="11" t="str">
        <v>Pending activation</v>
      </c>
      <c r="H77" s="11" t="str">
        <v>Not implemented</v>
      </c>
      <c r="I77" s="11" t="str">
        <v>Inventory and source metadata only</v>
      </c>
      <c r="J77" s="11" t="str">
        <v>No xLog scoring acceptance</v>
      </c>
      <c r="K77" s="11" t="str">
        <v>No xLog mutation/export acceptance</v>
      </c>
      <c r="L77" s="11" t="str">
        <v>Not accepted</v>
      </c>
      <c r="M77" s="11" t="str">
        <v>Audit rule authority, implement family layers and independent mutation/export/operator cases.</v>
      </c>
      <c r="N77" s="12" t="str">
        <v>E02</v>
      </c>
      <c r="O77" s="12" t="str">
        <v>E01</v>
      </c>
      <c r="P77" s="11" t="str">
        <v>raem.py at pinned source</v>
      </c>
      <c r="Q77" s="11" t="str">
        <v>96e4d4fc89b0f0cf992991d29fe5eb67cfdd8970092ae18a6b42e8468388d5fe</v>
      </c>
    </row>
    <row r="78" ht="72" customHeight="1">
      <c r="A78" s="11" t="n">
        <v>73</v>
      </c>
      <c r="B78" s="11" t="str">
        <v>randomgram</v>
      </c>
      <c r="C78" s="11" t="str">
        <v>RandomGram</v>
      </c>
      <c r="D78" s="11" t="str">
        <v>CW</v>
      </c>
      <c r="E78" s="11" t="str"/>
      <c r="F78" s="11" t="str">
        <v>no-duplicate-checking</v>
      </c>
      <c r="G78" s="11" t="str">
        <v>Pending activation</v>
      </c>
      <c r="H78" s="11" t="str">
        <v>Not implemented</v>
      </c>
      <c r="I78" s="11" t="str">
        <v>Inventory and source metadata only</v>
      </c>
      <c r="J78" s="11" t="str">
        <v>No xLog scoring acceptance</v>
      </c>
      <c r="K78" s="11" t="str">
        <v>No xLog mutation/export acceptance</v>
      </c>
      <c r="L78" s="11" t="str">
        <v>Not accepted</v>
      </c>
      <c r="M78" s="11" t="str">
        <v>Audit rule authority, implement family layers and independent mutation/export/operator cases.</v>
      </c>
      <c r="N78" s="12" t="str">
        <v>E02</v>
      </c>
      <c r="O78" s="12" t="str">
        <v>E01</v>
      </c>
      <c r="P78" s="11" t="str">
        <v>randomgram.py at pinned source</v>
      </c>
      <c r="Q78" s="11" t="str">
        <v>d93f7009517c4d179062ddd74327dbb90f9800a5e4ecfe6660fda310596112e9</v>
      </c>
    </row>
    <row r="79" ht="72" customHeight="1">
      <c r="A79" s="11" t="n">
        <v>74</v>
      </c>
      <c r="B79" s="11" t="str">
        <v>rda_contest</v>
      </c>
      <c r="C79" s="11" t="str">
        <v>RDA Contest</v>
      </c>
      <c r="D79" s="11" t="str">
        <v>BOTH</v>
      </c>
      <c r="E79" s="11" t="str">
        <v># or RDA code</v>
      </c>
      <c r="F79" s="11" t="str">
        <v>once-per-band-and-mode</v>
      </c>
      <c r="G79" s="11" t="str">
        <v>Pending activation</v>
      </c>
      <c r="H79" s="11" t="str">
        <v>Not implemented</v>
      </c>
      <c r="I79" s="11" t="str">
        <v>Inventory and source metadata only</v>
      </c>
      <c r="J79" s="11" t="str">
        <v>No xLog scoring acceptance</v>
      </c>
      <c r="K79" s="11" t="str">
        <v>No xLog mutation/export acceptance</v>
      </c>
      <c r="L79" s="11" t="str">
        <v>Not accepted</v>
      </c>
      <c r="M79" s="11" t="str">
        <v>Audit rule authority, implement family layers and independent mutation/export/operator cases.</v>
      </c>
      <c r="N79" s="12" t="str">
        <v>E02</v>
      </c>
      <c r="O79" s="12" t="str">
        <v>E01</v>
      </c>
      <c r="P79" s="11" t="str">
        <v>rda_contest.py at pinned source</v>
      </c>
      <c r="Q79" s="11" t="str">
        <v>ae456e63e6157b80481557876c5323ab6b980d5e5b044b882712ca8bfad1f9fc</v>
      </c>
    </row>
    <row r="80" ht="72" customHeight="1">
      <c r="A80" s="11" t="n">
        <v>75</v>
      </c>
      <c r="B80" s="11" t="str">
        <v>rdxc</v>
      </c>
      <c r="C80" s="11" t="str">
        <v>RDXC</v>
      </c>
      <c r="D80" s="11" t="str">
        <v>BOTH</v>
      </c>
      <c r="E80" s="11" t="str">
        <v># or Oblast</v>
      </c>
      <c r="F80" s="11" t="str">
        <v>once-per-band-and-mode</v>
      </c>
      <c r="G80" s="11" t="str">
        <v>Pending activation</v>
      </c>
      <c r="H80" s="11" t="str">
        <v>Not implemented</v>
      </c>
      <c r="I80" s="11" t="str">
        <v>Inventory and source metadata only</v>
      </c>
      <c r="J80" s="11" t="str">
        <v>No xLog scoring acceptance</v>
      </c>
      <c r="K80" s="11" t="str">
        <v>No xLog mutation/export acceptance</v>
      </c>
      <c r="L80" s="11" t="str">
        <v>Not accepted</v>
      </c>
      <c r="M80" s="11" t="str">
        <v>Audit rule authority, implement family layers and independent mutation/export/operator cases.</v>
      </c>
      <c r="N80" s="12" t="str">
        <v>E02</v>
      </c>
      <c r="O80" s="12" t="str">
        <v>E01</v>
      </c>
      <c r="P80" s="11" t="str">
        <v>rdxc.py at pinned source</v>
      </c>
      <c r="Q80" s="11" t="str">
        <v>172f96776943a988ae5139f09beb0a4e1fb74da07b89c0456f0bbd9ce3579c0d</v>
      </c>
    </row>
    <row r="81" ht="72" customHeight="1">
      <c r="A81" s="11" t="n">
        <v>76</v>
      </c>
      <c r="B81" s="11" t="str">
        <v>ref_cw</v>
      </c>
      <c r="C81" s="11" t="str">
        <v>French REF DX contest - CW</v>
      </c>
      <c r="D81" s="11" t="str">
        <v>CW</v>
      </c>
      <c r="E81" s="11" t="str">
        <v>Canton or #</v>
      </c>
      <c r="F81" s="11" t="str">
        <v>once-per-band</v>
      </c>
      <c r="G81" s="11" t="str">
        <v>Pending activation</v>
      </c>
      <c r="H81" s="11" t="str">
        <v>Not implemented</v>
      </c>
      <c r="I81" s="11" t="str">
        <v>Inventory and source metadata only</v>
      </c>
      <c r="J81" s="11" t="str">
        <v>No xLog scoring acceptance</v>
      </c>
      <c r="K81" s="11" t="str">
        <v>No xLog mutation/export acceptance</v>
      </c>
      <c r="L81" s="11" t="str">
        <v>Not accepted</v>
      </c>
      <c r="M81" s="11" t="str">
        <v>Audit rule authority, implement family layers and independent mutation/export/operator cases.</v>
      </c>
      <c r="N81" s="12" t="str">
        <v>E02</v>
      </c>
      <c r="O81" s="12" t="str">
        <v>E01</v>
      </c>
      <c r="P81" s="11" t="str">
        <v>ref_cw.py at pinned source</v>
      </c>
      <c r="Q81" s="11" t="str">
        <v>1b080f1181d2be51171ed9054dd6e218042c17925d394c3a32ccb1e39a306394</v>
      </c>
    </row>
    <row r="82" ht="72" customHeight="1">
      <c r="A82" s="11" t="n">
        <v>77</v>
      </c>
      <c r="B82" s="11" t="str">
        <v>ref_ssb</v>
      </c>
      <c r="C82" s="11" t="str">
        <v>French REF DX contest - SSB</v>
      </c>
      <c r="D82" s="11" t="str">
        <v>SSB</v>
      </c>
      <c r="E82" s="11" t="str">
        <v>Canton or #</v>
      </c>
      <c r="F82" s="11" t="str">
        <v>once-per-band</v>
      </c>
      <c r="G82" s="11" t="str">
        <v>Pending activation</v>
      </c>
      <c r="H82" s="11" t="str">
        <v>Not implemented</v>
      </c>
      <c r="I82" s="11" t="str">
        <v>Inventory and source metadata only</v>
      </c>
      <c r="J82" s="11" t="str">
        <v>No xLog scoring acceptance</v>
      </c>
      <c r="K82" s="11" t="str">
        <v>No xLog mutation/export acceptance</v>
      </c>
      <c r="L82" s="11" t="str">
        <v>Not accepted</v>
      </c>
      <c r="M82" s="11" t="str">
        <v>Audit rule authority, implement family layers and independent mutation/export/operator cases.</v>
      </c>
      <c r="N82" s="12" t="str">
        <v>E02</v>
      </c>
      <c r="O82" s="12" t="str">
        <v>E01</v>
      </c>
      <c r="P82" s="11" t="str">
        <v>ref_ssb.py at pinned source</v>
      </c>
      <c r="Q82" s="11" t="str">
        <v>a3837ad14b6efd487313f82c613b77bf91974fb7a211f72fd4fe1e655a1e764d</v>
      </c>
    </row>
    <row r="83" ht="72" customHeight="1">
      <c r="A83" s="11" t="n">
        <v>78</v>
      </c>
      <c r="B83" s="11" t="str">
        <v>rsgb_80m_cc</v>
      </c>
      <c r="C83" s="11" t="str">
        <v>RSGB 80M CC</v>
      </c>
      <c r="D83" s="11" t="str">
        <v>CW</v>
      </c>
      <c r="E83" s="11" t="str">
        <v>#</v>
      </c>
      <c r="F83" s="11" t="str">
        <v>once-per-contest</v>
      </c>
      <c r="G83" s="11" t="str">
        <v>Pending activation</v>
      </c>
      <c r="H83" s="11" t="str">
        <v>Not implemented</v>
      </c>
      <c r="I83" s="11" t="str">
        <v>Inventory and source metadata only</v>
      </c>
      <c r="J83" s="11" t="str">
        <v>No xLog scoring acceptance</v>
      </c>
      <c r="K83" s="11" t="str">
        <v>No xLog mutation/export acceptance</v>
      </c>
      <c r="L83" s="11" t="str">
        <v>Not accepted</v>
      </c>
      <c r="M83" s="11" t="str">
        <v>Audit rule authority, implement family layers and independent mutation/export/operator cases.</v>
      </c>
      <c r="N83" s="12" t="str">
        <v>E02</v>
      </c>
      <c r="O83" s="12" t="str">
        <v>E01</v>
      </c>
      <c r="P83" s="11" t="str">
        <v>rsgb_80m_cc.py at pinned source</v>
      </c>
      <c r="Q83" s="11" t="str">
        <v>a849ebe314c4072ff4a684bef909d49c6235a9c3fec585ea9197318331b857ec</v>
      </c>
    </row>
    <row r="84" ht="72" customHeight="1">
      <c r="A84" s="11" t="n">
        <v>79</v>
      </c>
      <c r="B84" s="11" t="str">
        <v>rsgb_commonwealth_beru</v>
      </c>
      <c r="C84" s="11" t="str">
        <v>RSGB Commonwealth BERU</v>
      </c>
      <c r="D84" s="11" t="str">
        <v>CW</v>
      </c>
      <c r="E84" s="11" t="str">
        <v>#</v>
      </c>
      <c r="F84" s="11" t="str">
        <v>once-per-band</v>
      </c>
      <c r="G84" s="11" t="str">
        <v>Pending activation</v>
      </c>
      <c r="H84" s="11" t="str">
        <v>Not implemented</v>
      </c>
      <c r="I84" s="11" t="str">
        <v>Inventory and source metadata only</v>
      </c>
      <c r="J84" s="11" t="str">
        <v>No xLog scoring acceptance</v>
      </c>
      <c r="K84" s="11" t="str">
        <v>No xLog mutation/export acceptance</v>
      </c>
      <c r="L84" s="11" t="str">
        <v>Not accepted</v>
      </c>
      <c r="M84" s="11" t="str">
        <v>Audit rule authority, implement family layers and independent mutation/export/operator cases.</v>
      </c>
      <c r="N84" s="12" t="str">
        <v>E02</v>
      </c>
      <c r="O84" s="12" t="str">
        <v>E01</v>
      </c>
      <c r="P84" s="11" t="str">
        <v>rsgb_commonwealth_beru.py at pinned source</v>
      </c>
      <c r="Q84" s="11" t="str">
        <v>2c3cb60a3c1edbb88e29bc39d2ce360ec4144160c1ed6dae420f210fd4037766</v>
      </c>
    </row>
    <row r="85" ht="72" customHeight="1">
      <c r="A85" s="11" t="n">
        <v>80</v>
      </c>
      <c r="B85" s="11" t="str">
        <v>rsgb_iota</v>
      </c>
      <c r="C85" s="11" t="str">
        <v>RSGB-IOTA</v>
      </c>
      <c r="D85" s="11" t="str">
        <v>BOTH</v>
      </c>
      <c r="E85" s="11" t="str">
        <v># or # And IOTA number</v>
      </c>
      <c r="F85" s="11" t="str">
        <v>once-per-band-and-mode</v>
      </c>
      <c r="G85" s="11" t="str">
        <v>Pending activation</v>
      </c>
      <c r="H85" s="11" t="str">
        <v>Not implemented</v>
      </c>
      <c r="I85" s="11" t="str">
        <v>Inventory and source metadata only</v>
      </c>
      <c r="J85" s="11" t="str">
        <v>No xLog scoring acceptance</v>
      </c>
      <c r="K85" s="11" t="str">
        <v>No xLog mutation/export acceptance</v>
      </c>
      <c r="L85" s="11" t="str">
        <v>Not accepted</v>
      </c>
      <c r="M85" s="11" t="str">
        <v>Audit rule authority, implement family layers and independent mutation/export/operator cases.</v>
      </c>
      <c r="N85" s="12" t="str">
        <v>E02</v>
      </c>
      <c r="O85" s="12" t="str">
        <v>E01</v>
      </c>
      <c r="P85" s="11" t="str">
        <v>rsgb_iota.py at pinned source</v>
      </c>
      <c r="Q85" s="11" t="str">
        <v>2c1c15b1aa962b65f95b50e955118ff5574950a7a4b60915825f3359bf1ab33a</v>
      </c>
    </row>
    <row r="86" ht="72" customHeight="1">
      <c r="A86" s="11" t="n">
        <v>81</v>
      </c>
      <c r="B86" s="11" t="str">
        <v>sac_cw</v>
      </c>
      <c r="C86" s="11" t="str">
        <v>SAC CW</v>
      </c>
      <c r="D86" s="11" t="str">
        <v>CW</v>
      </c>
      <c r="E86" s="11" t="str">
        <v>#</v>
      </c>
      <c r="F86" s="11" t="str">
        <v>once-per-band</v>
      </c>
      <c r="G86" s="11" t="str">
        <v>Active preview</v>
      </c>
      <c r="H86" s="11" t="str">
        <v>Official-corrected practice preview</v>
      </c>
      <c r="I86" s="11" t="str">
        <v>Core, store, worker, client, shared UI; practice outputs</v>
      </c>
      <c r="J86" s="11" t="str">
        <v>Independent arithmetic; official 2026 rules</v>
      </c>
      <c r="K86" s="11" t="str">
        <v>Native store + worker lifecycle; practice export goldens</v>
      </c>
      <c r="L86" s="11" t="str">
        <v>Plain Log only; full Run/S&amp;P open</v>
      </c>
      <c r="M86" s="11" t="str">
        <v>Deliberate corrections to pinned Python. Complete category/date enforcement, operator acceptance and sponsor submission validation.</v>
      </c>
      <c r="N86" s="12" t="str">
        <v>E06</v>
      </c>
      <c r="O86" s="12" t="str">
        <v>E02</v>
      </c>
      <c r="P86" s="11" t="str">
        <v>sac_cw.py at pinned source</v>
      </c>
      <c r="Q86" s="11" t="str">
        <v>2c2879d79f59df964e821f5c9ee6a5a460dad93e1c0e04a72b4c3a9ff9aa36ce</v>
      </c>
    </row>
    <row r="87" ht="72" customHeight="1">
      <c r="A87" s="11" t="n">
        <v>82</v>
      </c>
      <c r="B87" s="11" t="str">
        <v>sac_ssb</v>
      </c>
      <c r="C87" s="11" t="str">
        <v>SAC SSB</v>
      </c>
      <c r="D87" s="11" t="str">
        <v>SSB</v>
      </c>
      <c r="E87" s="11" t="str">
        <v>#</v>
      </c>
      <c r="F87" s="11" t="str">
        <v>once-per-band</v>
      </c>
      <c r="G87" s="11" t="str">
        <v>Active preview</v>
      </c>
      <c r="H87" s="11" t="str">
        <v>Official-corrected practice preview</v>
      </c>
      <c r="I87" s="11" t="str">
        <v>Core, store, worker, client, shared UI; practice outputs</v>
      </c>
      <c r="J87" s="11" t="str">
        <v>Independent arithmetic; official 2026 rules</v>
      </c>
      <c r="K87" s="11" t="str">
        <v>Native store + worker lifecycle; practice export goldens</v>
      </c>
      <c r="L87" s="11" t="str">
        <v>Plain Log only; full Run/S&amp;P open</v>
      </c>
      <c r="M87" s="11" t="str">
        <v>Deliberate corrections to pinned Python. Complete category/date enforcement, operator acceptance and sponsor submission validation.</v>
      </c>
      <c r="N87" s="12" t="str">
        <v>E06</v>
      </c>
      <c r="O87" s="12" t="str">
        <v>E02</v>
      </c>
      <c r="P87" s="11" t="str">
        <v>sac_ssb.py at pinned source</v>
      </c>
      <c r="Q87" s="11" t="str">
        <v>c8a8fe6189e79a6fe001de2f73cccd574acc0d26ea8f2f8691765619f1b06fd9</v>
      </c>
    </row>
    <row r="88" ht="72" customHeight="1">
      <c r="A88" s="11" t="n">
        <v>83</v>
      </c>
      <c r="B88" s="11" t="str">
        <v>spdx</v>
      </c>
      <c r="C88" s="11" t="str">
        <v>SPDX</v>
      </c>
      <c r="D88" s="11" t="str">
        <v>BOTH</v>
      </c>
      <c r="E88" s="11" t="str">
        <v>Province/Territory</v>
      </c>
      <c r="F88" s="11" t="str">
        <v>once-per-band-and-mode</v>
      </c>
      <c r="G88" s="11" t="str">
        <v>Pending activation</v>
      </c>
      <c r="H88" s="11" t="str">
        <v>Not implemented</v>
      </c>
      <c r="I88" s="11" t="str">
        <v>Inventory and source metadata only</v>
      </c>
      <c r="J88" s="11" t="str">
        <v>No xLog scoring acceptance</v>
      </c>
      <c r="K88" s="11" t="str">
        <v>No xLog mutation/export acceptance</v>
      </c>
      <c r="L88" s="11" t="str">
        <v>Not accepted</v>
      </c>
      <c r="M88" s="11" t="str">
        <v>Audit rule authority, implement family layers and independent mutation/export/operator cases.</v>
      </c>
      <c r="N88" s="12" t="str">
        <v>E02</v>
      </c>
      <c r="O88" s="12" t="str">
        <v>E01</v>
      </c>
      <c r="P88" s="11" t="str">
        <v>spdx.py at pinned source</v>
      </c>
      <c r="Q88" s="11" t="str">
        <v>a36affddfe6b530ad552c9f193527a7ba15acbfa04b93446e1571ae014727125</v>
      </c>
    </row>
    <row r="89" ht="72" customHeight="1">
      <c r="A89" s="11" t="n">
        <v>84</v>
      </c>
      <c r="B89" s="11" t="str">
        <v>ssa_mt_cw</v>
      </c>
      <c r="C89" s="11" t="str">
        <v>SSA MT CW</v>
      </c>
      <c r="D89" s="11" t="str">
        <v>CW</v>
      </c>
      <c r="E89" s="11" t="str">
        <v># LocXXXX</v>
      </c>
      <c r="F89" s="11" t="str">
        <v>once-per-band</v>
      </c>
      <c r="G89" s="11" t="str">
        <v>Pending activation</v>
      </c>
      <c r="H89" s="11" t="str">
        <v>Not implemented</v>
      </c>
      <c r="I89" s="11" t="str">
        <v>Inventory and source metadata only</v>
      </c>
      <c r="J89" s="11" t="str">
        <v>No xLog scoring acceptance</v>
      </c>
      <c r="K89" s="11" t="str">
        <v>No xLog mutation/export acceptance</v>
      </c>
      <c r="L89" s="11" t="str">
        <v>Not accepted</v>
      </c>
      <c r="M89" s="11" t="str">
        <v>Audit rule authority, implement family layers and independent mutation/export/operator cases.</v>
      </c>
      <c r="N89" s="12" t="str">
        <v>E02</v>
      </c>
      <c r="O89" s="12" t="str">
        <v>E01</v>
      </c>
      <c r="P89" s="11" t="str">
        <v>ssa_mt_cw.py at pinned source</v>
      </c>
      <c r="Q89" s="11" t="str">
        <v>24edb651b2a74d327ca820be9d6fb12db9b35d27914c8d5ba88a6da1858dfa36</v>
      </c>
    </row>
    <row r="90" ht="72" customHeight="1">
      <c r="A90" s="11" t="n">
        <v>85</v>
      </c>
      <c r="B90" s="11" t="str">
        <v>ssa_mt_ssb</v>
      </c>
      <c r="C90" s="11" t="str">
        <v>SSA MT SSB</v>
      </c>
      <c r="D90" s="11" t="str">
        <v>SSB</v>
      </c>
      <c r="E90" s="11" t="str">
        <v># LocXXXX</v>
      </c>
      <c r="F90" s="11" t="str">
        <v>once-per-band</v>
      </c>
      <c r="G90" s="11" t="str">
        <v>Pending activation</v>
      </c>
      <c r="H90" s="11" t="str">
        <v>Not implemented</v>
      </c>
      <c r="I90" s="11" t="str">
        <v>Inventory and source metadata only</v>
      </c>
      <c r="J90" s="11" t="str">
        <v>No xLog scoring acceptance</v>
      </c>
      <c r="K90" s="11" t="str">
        <v>No xLog mutation/export acceptance</v>
      </c>
      <c r="L90" s="11" t="str">
        <v>Not accepted</v>
      </c>
      <c r="M90" s="11" t="str">
        <v>Audit rule authority, implement family layers and independent mutation/export/operator cases.</v>
      </c>
      <c r="N90" s="12" t="str">
        <v>E02</v>
      </c>
      <c r="O90" s="12" t="str">
        <v>E01</v>
      </c>
      <c r="P90" s="11" t="str">
        <v>ssa_mt_ssb.py at pinned source</v>
      </c>
      <c r="Q90" s="11" t="str">
        <v>cb05d6f0e99f49d9e134ef1e749436d97b2a162e337de9ab64fceddf9e4168ca</v>
      </c>
    </row>
    <row r="91" ht="72" customHeight="1">
      <c r="A91" s="11" t="n">
        <v>86</v>
      </c>
      <c r="B91" s="11" t="str">
        <v>stew_perry_topband</v>
      </c>
      <c r="C91" s="11" t="str">
        <v>Stew Perry Topband</v>
      </c>
      <c r="D91" s="11" t="str">
        <v>CW</v>
      </c>
      <c r="E91" s="11" t="str">
        <v>4-Character grid square</v>
      </c>
      <c r="F91" s="11" t="str">
        <v>once-per-contest</v>
      </c>
      <c r="G91" s="11" t="str">
        <v>Pending activation</v>
      </c>
      <c r="H91" s="11" t="str">
        <v>Not implemented</v>
      </c>
      <c r="I91" s="11" t="str">
        <v>Inventory and source metadata only</v>
      </c>
      <c r="J91" s="11" t="str">
        <v>No xLog scoring acceptance</v>
      </c>
      <c r="K91" s="11" t="str">
        <v>No xLog mutation/export acceptance</v>
      </c>
      <c r="L91" s="11" t="str">
        <v>Not accepted</v>
      </c>
      <c r="M91" s="11" t="str">
        <v>Audit rule authority, implement family layers and independent mutation/export/operator cases.</v>
      </c>
      <c r="N91" s="12" t="str">
        <v>E02</v>
      </c>
      <c r="O91" s="12" t="str">
        <v>E01</v>
      </c>
      <c r="P91" s="11" t="str">
        <v>stew_perry_topband.py at pinned source</v>
      </c>
      <c r="Q91" s="11" t="str">
        <v>e6d9e75f13c12e76ed1c8013f7a452acae4492208d647a95c1edc8069e9e20c6</v>
      </c>
    </row>
    <row r="92" ht="72" customHeight="1">
      <c r="A92" s="11" t="n">
        <v>87</v>
      </c>
      <c r="B92" s="11" t="str">
        <v>ta_vhf_uhf_contest</v>
      </c>
      <c r="C92" s="11" t="str">
        <v>TA VHF UHF</v>
      </c>
      <c r="D92" s="11" t="str">
        <v>BOTH</v>
      </c>
      <c r="E92" s="11" t="str">
        <v># + 6char grid</v>
      </c>
      <c r="F92" s="11" t="str">
        <v>once-per-band-and-mode</v>
      </c>
      <c r="G92" s="11" t="str">
        <v>Pending activation</v>
      </c>
      <c r="H92" s="11" t="str">
        <v>Not implemented</v>
      </c>
      <c r="I92" s="11" t="str">
        <v>Inventory and source metadata only</v>
      </c>
      <c r="J92" s="11" t="str">
        <v>No xLog scoring acceptance</v>
      </c>
      <c r="K92" s="11" t="str">
        <v>No xLog mutation/export acceptance</v>
      </c>
      <c r="L92" s="11" t="str">
        <v>Not accepted</v>
      </c>
      <c r="M92" s="11" t="str">
        <v>Audit rule authority, implement family layers and independent mutation/export/operator cases.</v>
      </c>
      <c r="N92" s="12" t="str">
        <v>E02</v>
      </c>
      <c r="O92" s="12" t="str">
        <v>E01</v>
      </c>
      <c r="P92" s="11" t="str">
        <v>ta_vhf_uhf_contest.py at pinned source</v>
      </c>
      <c r="Q92" s="11" t="str">
        <v>c4a236c0b844b9e172e5e22206a10d9dc3bddf632567062f9ae28e93e9cba93c</v>
      </c>
    </row>
    <row r="93" ht="72" customHeight="1">
      <c r="A93" s="11" t="n">
        <v>88</v>
      </c>
      <c r="B93" s="11" t="str">
        <v>trans_tasman</v>
      </c>
      <c r="C93" s="11" t="str">
        <v>Trans Tasman</v>
      </c>
      <c r="D93" s="11" t="str">
        <v>BOTH</v>
      </c>
      <c r="E93" s="11" t="str">
        <v>#</v>
      </c>
      <c r="F93" s="11" t="str">
        <v>plugin-specific-dispatch-unverified</v>
      </c>
      <c r="G93" s="11" t="str">
        <v>Pending activation</v>
      </c>
      <c r="H93" s="11" t="str">
        <v>Not implemented</v>
      </c>
      <c r="I93" s="11" t="str">
        <v>Inventory and source metadata only</v>
      </c>
      <c r="J93" s="11" t="str">
        <v>No xLog scoring acceptance</v>
      </c>
      <c r="K93" s="11" t="str">
        <v>No xLog mutation/export acceptance</v>
      </c>
      <c r="L93" s="11" t="str">
        <v>Not accepted</v>
      </c>
      <c r="M93" s="11" t="str">
        <v>Audit custom duplicate logic before implementation; no generic-policy substitution.</v>
      </c>
      <c r="N93" s="12" t="str">
        <v>E02</v>
      </c>
      <c r="O93" s="12" t="str">
        <v>E01</v>
      </c>
      <c r="P93" s="11" t="str">
        <v>trans_tasman.py at pinned source</v>
      </c>
      <c r="Q93" s="11" t="str">
        <v>e077c5bc1f77d7f4ef75c7591cf4a0d5f984a26997fbd6831ddd7f92093e3344</v>
      </c>
    </row>
    <row r="94" ht="72" customHeight="1">
      <c r="A94" s="11" t="n">
        <v>89</v>
      </c>
      <c r="B94" s="11" t="str">
        <v>ukeidx</v>
      </c>
      <c r="C94" s="11" t="str">
        <v>UKEI-DX</v>
      </c>
      <c r="D94" s="11" t="str">
        <v>BOTH</v>
      </c>
      <c r="E94" s="11" t="str">
        <v># or # And Dist</v>
      </c>
      <c r="F94" s="11" t="str">
        <v>once-per-band</v>
      </c>
      <c r="G94" s="11" t="str">
        <v>Pending activation</v>
      </c>
      <c r="H94" s="11" t="str">
        <v>Not implemented</v>
      </c>
      <c r="I94" s="11" t="str">
        <v>Inventory and source metadata only</v>
      </c>
      <c r="J94" s="11" t="str">
        <v>No xLog scoring acceptance</v>
      </c>
      <c r="K94" s="11" t="str">
        <v>No xLog mutation/export acceptance</v>
      </c>
      <c r="L94" s="11" t="str">
        <v>Not accepted</v>
      </c>
      <c r="M94" s="11" t="str">
        <v>Audit rule authority, implement family layers and independent mutation/export/operator cases.</v>
      </c>
      <c r="N94" s="12" t="str">
        <v>E02</v>
      </c>
      <c r="O94" s="12" t="str">
        <v>E01</v>
      </c>
      <c r="P94" s="11" t="str">
        <v>ukeidx.py at pinned source</v>
      </c>
      <c r="Q94" s="11" t="str">
        <v>0ffdf2c6f30f10762b718dece31e2f37028406f6b59845884f3ebbbc9b224228</v>
      </c>
    </row>
    <row r="95" ht="72" customHeight="1">
      <c r="A95" s="11" t="n">
        <v>90</v>
      </c>
      <c r="B95" s="11" t="str">
        <v>vhf_sprint</v>
      </c>
      <c r="C95" s="11" t="str">
        <v>VHF SPRINT</v>
      </c>
      <c r="D95" s="11" t="str">
        <v>BOTH</v>
      </c>
      <c r="E95" s="11" t="str">
        <v>4-character grid square</v>
      </c>
      <c r="F95" s="11" t="str">
        <v>once-per-band-and-mode</v>
      </c>
      <c r="G95" s="11" t="str">
        <v>Pending activation</v>
      </c>
      <c r="H95" s="11" t="str">
        <v>Not implemented</v>
      </c>
      <c r="I95" s="11" t="str">
        <v>Inventory and source metadata only</v>
      </c>
      <c r="J95" s="11" t="str">
        <v>No xLog scoring acceptance</v>
      </c>
      <c r="K95" s="11" t="str">
        <v>No xLog mutation/export acceptance</v>
      </c>
      <c r="L95" s="11" t="str">
        <v>Not accepted</v>
      </c>
      <c r="M95" s="11" t="str">
        <v>Audit rule authority, implement family layers and independent mutation/export/operator cases.</v>
      </c>
      <c r="N95" s="12" t="str">
        <v>E02</v>
      </c>
      <c r="O95" s="12" t="str">
        <v>E01</v>
      </c>
      <c r="P95" s="11" t="str">
        <v>vhf_sprint.py at pinned source</v>
      </c>
      <c r="Q95" s="11" t="str">
        <v>bcff4ba7bbc843c91932b87a8405905cad8a5d2eecd65f49c626132500640d43</v>
      </c>
    </row>
    <row r="96" ht="72" customHeight="1">
      <c r="A96" s="11" t="n">
        <v>91</v>
      </c>
      <c r="B96" s="11" t="str">
        <v>wag</v>
      </c>
      <c r="C96" s="11" t="str">
        <v>WAG</v>
      </c>
      <c r="D96" s="11" t="str">
        <v>BOTH</v>
      </c>
      <c r="E96" s="11" t="str">
        <v>DOK/NM or #</v>
      </c>
      <c r="F96" s="11" t="str">
        <v>once-per-band-and-mode</v>
      </c>
      <c r="G96" s="11" t="str">
        <v>Pending activation</v>
      </c>
      <c r="H96" s="11" t="str">
        <v>Not implemented</v>
      </c>
      <c r="I96" s="11" t="str">
        <v>Inventory and source metadata only</v>
      </c>
      <c r="J96" s="11" t="str">
        <v>No xLog scoring acceptance</v>
      </c>
      <c r="K96" s="11" t="str">
        <v>No xLog mutation/export acceptance</v>
      </c>
      <c r="L96" s="11" t="str">
        <v>Not accepted</v>
      </c>
      <c r="M96" s="11" t="str">
        <v>Audit rule authority, implement family layers and independent mutation/export/operator cases.</v>
      </c>
      <c r="N96" s="12" t="str">
        <v>E02</v>
      </c>
      <c r="O96" s="12" t="str">
        <v>E01</v>
      </c>
      <c r="P96" s="11" t="str">
        <v>wag.py at pinned source</v>
      </c>
      <c r="Q96" s="11" t="str">
        <v>6435691dcf956c73111f6e66058d598a0fe9b0ef94b4cd38ded9a88f186c4276</v>
      </c>
    </row>
    <row r="97" ht="72" customHeight="1">
      <c r="A97" s="11" t="n">
        <v>92</v>
      </c>
      <c r="B97" s="11" t="str">
        <v>weekly_rtty</v>
      </c>
      <c r="C97" s="11" t="str">
        <v>WEEKLY RTTY TEST</v>
      </c>
      <c r="D97" s="11" t="str">
        <v>RTTY</v>
      </c>
      <c r="E97" s="11" t="str">
        <v>Name + SPC</v>
      </c>
      <c r="F97" s="11" t="str">
        <v>once-per-band</v>
      </c>
      <c r="G97" s="11" t="str">
        <v>Pending activation</v>
      </c>
      <c r="H97" s="11" t="str">
        <v>Not implemented</v>
      </c>
      <c r="I97" s="11" t="str">
        <v>Inventory and source metadata only</v>
      </c>
      <c r="J97" s="11" t="str">
        <v>No xLog scoring acceptance</v>
      </c>
      <c r="K97" s="11" t="str">
        <v>No xLog mutation/export acceptance</v>
      </c>
      <c r="L97" s="11" t="str">
        <v>Not accepted</v>
      </c>
      <c r="M97" s="11" t="str">
        <v>Digital import/send/output contract and isolated operator tests required.</v>
      </c>
      <c r="N97" s="12" t="str">
        <v>E02</v>
      </c>
      <c r="O97" s="12" t="str">
        <v>E01</v>
      </c>
      <c r="P97" s="11" t="str">
        <v>weekly_rtty.py at pinned source</v>
      </c>
      <c r="Q97" s="11" t="str">
        <v>595cc4514d88fd3c7d8568bf695366a700b4d08c2a491334958e42702df6d02a</v>
      </c>
    </row>
    <row r="98" ht="72" customHeight="1">
      <c r="A98" s="11" t="n">
        <v>93</v>
      </c>
      <c r="B98" s="11" t="str">
        <v>wia_remembrance</v>
      </c>
      <c r="C98" s="11" t="str">
        <v>WIA REMEMBRANCE</v>
      </c>
      <c r="D98" s="11" t="str">
        <v>BOTH</v>
      </c>
      <c r="E98" s="11" t="str">
        <v>Years Licenced</v>
      </c>
      <c r="F98" s="11" t="str">
        <v>plugin-specific-dispatch-unverified</v>
      </c>
      <c r="G98" s="11" t="str">
        <v>Pending activation</v>
      </c>
      <c r="H98" s="11" t="str">
        <v>Not implemented</v>
      </c>
      <c r="I98" s="11" t="str">
        <v>Inventory and source metadata only</v>
      </c>
      <c r="J98" s="11" t="str">
        <v>No xLog scoring acceptance</v>
      </c>
      <c r="K98" s="11" t="str">
        <v>No xLog mutation/export acceptance</v>
      </c>
      <c r="L98" s="11" t="str">
        <v>Not accepted</v>
      </c>
      <c r="M98" s="11" t="str">
        <v>Audit custom duplicate logic before implementation; no generic-policy substitution.</v>
      </c>
      <c r="N98" s="12" t="str">
        <v>E02</v>
      </c>
      <c r="O98" s="12" t="str">
        <v>E01</v>
      </c>
      <c r="P98" s="11" t="str">
        <v>wia_remembrance.py at pinned source</v>
      </c>
      <c r="Q98" s="11" t="str">
        <v>539627f036aa235ad5ecdc3a5c1ee4590f3fae3975f850ef0b9b7b1ca3df14af</v>
      </c>
    </row>
    <row r="99" ht="72" customHeight="1">
      <c r="A99" s="11" t="n">
        <v>94</v>
      </c>
      <c r="B99" s="11" t="str">
        <v>winter_field_day</v>
      </c>
      <c r="C99" s="11" t="str">
        <v>Winter Field Day</v>
      </c>
      <c r="D99" s="11" t="str">
        <v>BOTH</v>
      </c>
      <c r="E99" s="11" t="str">
        <v>1O ORG</v>
      </c>
      <c r="F99" s="11" t="str">
        <v>once-per-band-and-mode</v>
      </c>
      <c r="G99" s="11" t="str">
        <v>Pending activation</v>
      </c>
      <c r="H99" s="11" t="str">
        <v>Not implemented</v>
      </c>
      <c r="I99" s="11" t="str">
        <v>Inventory and source metadata only</v>
      </c>
      <c r="J99" s="11" t="str">
        <v>No xLog scoring acceptance</v>
      </c>
      <c r="K99" s="11" t="str">
        <v>No xLog mutation/export acceptance</v>
      </c>
      <c r="L99" s="11" t="str">
        <v>Not accepted</v>
      </c>
      <c r="M99" s="11" t="str">
        <v>Audit rule authority, implement family layers and independent mutation/export/operator cases.</v>
      </c>
      <c r="N99" s="12" t="str">
        <v>E02</v>
      </c>
      <c r="O99" s="12" t="str">
        <v>E01</v>
      </c>
      <c r="P99" s="11" t="str">
        <v>winter_field_day.py at pinned source</v>
      </c>
      <c r="Q99" s="11" t="str">
        <v>8cc5f8421909a482e52d08e0ce4144c772b04aa7c5364ffeb3f5f2b78bbbd489</v>
      </c>
    </row>
  </sheetData>
  <conditionalFormatting sqref="G6:G99">
    <cfRule type="containsText" dxfId="0" priority="1" operator="containsText" text="Pending"/>
    <cfRule type="containsText" dxfId="1" priority="2" operator="containsText" text="Partial"/>
    <cfRule type="containsText" dxfId="2" priority="3" operator="containsText" text="Open"/>
    <cfRule type="containsText" dxfId="3" priority="4" operator="containsText" text="Changes required"/>
    <cfRule type="containsText" dxfId="4" priority="5" operator="containsText" text="Candidate"/>
    <cfRule type="containsText" dxfId="5" priority="6" operator="containsText" text="Active preview"/>
  </conditionalFormatting>
  <hyperlinks>
    <hyperlink ref="N6" display="E02" location="'Evidence'!A7"/>
    <hyperlink ref="O6" display="E01" location="'Evidence'!A6"/>
    <hyperlink ref="P6" display="10_10_fall_cw.py at pinned source" r:id="rIdReportLink3"/>
    <hyperlink ref="N7" display="E02" location="'Evidence'!A7"/>
    <hyperlink ref="O7" display="E01" location="'Evidence'!A6"/>
    <hyperlink ref="P7" display="10_10_spring_cw.py at pinned source" r:id="rIdReportLink6"/>
    <hyperlink ref="N8" display="E02" location="'Evidence'!A7"/>
    <hyperlink ref="O8" display="E01" location="'Evidence'!A6"/>
    <hyperlink ref="P8" display="10_10_summer_phone.py at pinned source" r:id="rIdReportLink9"/>
    <hyperlink ref="N9" display="E02" location="'Evidence'!A7"/>
    <hyperlink ref="O9" display="E01" location="'Evidence'!A6"/>
    <hyperlink ref="P9" display="10_10_winter_phone.py at pinned source" r:id="rIdReportLink12"/>
    <hyperlink ref="N10" display="E02" location="'Evidence'!A7"/>
    <hyperlink ref="O10" display="E01" location="'Evidence'!A6"/>
    <hyperlink ref="P10" display="aadx_cw.py at pinned source" r:id="rIdReportLink15"/>
    <hyperlink ref="N11" display="E02" location="'Evidence'!A7"/>
    <hyperlink ref="O11" display="E01" location="'Evidence'!A6"/>
    <hyperlink ref="P11" display="aadx_ssb.py at pinned source" r:id="rIdReportLink18"/>
    <hyperlink ref="N12" display="E02" location="'Evidence'!A7"/>
    <hyperlink ref="O12" display="E01" location="'Evidence'!A6"/>
    <hyperlink ref="P12" display="agcw_qrp.py at pinned source" r:id="rIdReportLink21"/>
    <hyperlink ref="N13" display="E02" location="'Evidence'!A7"/>
    <hyperlink ref="O13" display="E01" location="'Evidence'!A6"/>
    <hyperlink ref="P13" display="ari_40_80.py at pinned source" r:id="rIdReportLink24"/>
    <hyperlink ref="N14" display="E02" location="'Evidence'!A7"/>
    <hyperlink ref="O14" display="E01" location="'Evidence'!A6"/>
    <hyperlink ref="P14" display="ari_dx.py at pinned source" r:id="rIdReportLink27"/>
    <hyperlink ref="N15" display="E02" location="'Evidence'!A7"/>
    <hyperlink ref="O15" display="E01" location="'Evidence'!A6"/>
    <hyperlink ref="P15" display="arrl_10m.py at pinned source" r:id="rIdReportLink30"/>
    <hyperlink ref="N16" display="E02" location="'Evidence'!A7"/>
    <hyperlink ref="O16" display="E01" location="'Evidence'!A6"/>
    <hyperlink ref="P16" display="arrl_160m.py at pinned source" r:id="rIdReportLink33"/>
    <hyperlink ref="N17" display="E10" location="'Evidence'!A15"/>
    <hyperlink ref="O17" display="E18" location="'Evidence'!A23"/>
    <hyperlink ref="P17" display="arrl_dx_cw.py at pinned source" r:id="rIdReportLink36"/>
    <hyperlink ref="N18" display="E10" location="'Evidence'!A15"/>
    <hyperlink ref="O18" display="E18" location="'Evidence'!A23"/>
    <hyperlink ref="P18" display="arrl_dx_ssb.py at pinned source" r:id="rIdReportLink39"/>
    <hyperlink ref="N19" display="E02" location="'Evidence'!A7"/>
    <hyperlink ref="O19" display="E01" location="'Evidence'!A6"/>
    <hyperlink ref="P19" display="arrl_field_day.py at pinned source" r:id="rIdReportLink42"/>
    <hyperlink ref="N20" display="E08" location="'Evidence'!A13"/>
    <hyperlink ref="O20" display="E02" location="'Evidence'!A7"/>
    <hyperlink ref="P20" display="arrl_rtty_ru.py at pinned source" r:id="rIdReportLink45"/>
    <hyperlink ref="N21" display="E02" location="'Evidence'!A7"/>
    <hyperlink ref="O21" display="E01" location="'Evidence'!A6"/>
    <hyperlink ref="P21" display="arrl_ss_cw.py at pinned source" r:id="rIdReportLink48"/>
    <hyperlink ref="N22" display="E02" location="'Evidence'!A7"/>
    <hyperlink ref="O22" display="E01" location="'Evidence'!A6"/>
    <hyperlink ref="P22" display="arrl_ss_phone.py at pinned source" r:id="rIdReportLink51"/>
    <hyperlink ref="N23" display="E02" location="'Evidence'!A7"/>
    <hyperlink ref="O23" display="E01" location="'Evidence'!A6"/>
    <hyperlink ref="P23" display="arrl_vhf_jan.py at pinned source" r:id="rIdReportLink54"/>
    <hyperlink ref="N24" display="E02" location="'Evidence'!A7"/>
    <hyperlink ref="O24" display="E01" location="'Evidence'!A6"/>
    <hyperlink ref="P24" display="arrl_vhf_jun.py at pinned source" r:id="rIdReportLink57"/>
    <hyperlink ref="N25" display="E02" location="'Evidence'!A7"/>
    <hyperlink ref="O25" display="E01" location="'Evidence'!A6"/>
    <hyperlink ref="P25" display="arrl_vhf_sep.py at pinned source" r:id="rIdReportLink60"/>
    <hyperlink ref="N26" display="E02" location="'Evidence'!A7"/>
    <hyperlink ref="O26" display="E01" location="'Evidence'!A6"/>
    <hyperlink ref="P26" display="ca_qso_party.py at pinned source" r:id="rIdReportLink63"/>
    <hyperlink ref="N27" display="E02" location="'Evidence'!A7"/>
    <hyperlink ref="O27" display="E01" location="'Evidence'!A6"/>
    <hyperlink ref="P27" display="canada_day.py at pinned source" r:id="rIdReportLink66"/>
    <hyperlink ref="N28" display="E02" location="'Evidence'!A7"/>
    <hyperlink ref="O28" display="E01" location="'Evidence'!A6"/>
    <hyperlink ref="P28" display="cq_160_cw.py at pinned source" r:id="rIdReportLink69"/>
    <hyperlink ref="N29" display="E02" location="'Evidence'!A7"/>
    <hyperlink ref="O29" display="E01" location="'Evidence'!A6"/>
    <hyperlink ref="P29" display="cq_160_ssb.py at pinned source" r:id="rIdReportLink72"/>
    <hyperlink ref="N30" display="E04" location="'Evidence'!A9"/>
    <hyperlink ref="O30" display="E11" location="'Evidence'!A16"/>
    <hyperlink ref="P30" display="cq_wpx_cw.py at pinned source" r:id="rIdReportLink75"/>
    <hyperlink ref="N31" display="E02" location="'Evidence'!A7"/>
    <hyperlink ref="O31" display="E01" location="'Evidence'!A6"/>
    <hyperlink ref="P31" display="cq_wpx_rtty.py at pinned source" r:id="rIdReportLink78"/>
    <hyperlink ref="N32" display="E04" location="'Evidence'!A9"/>
    <hyperlink ref="O32" display="E11" location="'Evidence'!A16"/>
    <hyperlink ref="P32" display="cq_wpx_ssb.py at pinned source" r:id="rIdReportLink81"/>
    <hyperlink ref="N33" display="E04" location="'Evidence'!A9"/>
    <hyperlink ref="O33" display="E11" location="'Evidence'!A16"/>
    <hyperlink ref="P33" display="cq_ww_cw.py at pinned source" r:id="rIdReportLink84"/>
    <hyperlink ref="N34" display="E02" location="'Evidence'!A7"/>
    <hyperlink ref="O34" display="E01" location="'Evidence'!A6"/>
    <hyperlink ref="P34" display="cq_ww_rtty.py at pinned source" r:id="rIdReportLink87"/>
    <hyperlink ref="N35" display="E04" location="'Evidence'!A9"/>
    <hyperlink ref="O35" display="E11" location="'Evidence'!A16"/>
    <hyperlink ref="P35" display="cq_ww_ssb.py at pinned source" r:id="rIdReportLink90"/>
    <hyperlink ref="N36" display="E02" location="'Evidence'!A7"/>
    <hyperlink ref="O36" display="E01" location="'Evidence'!A6"/>
    <hyperlink ref="P36" display="cq_ww_vhf.py at pinned source" r:id="rIdReportLink93"/>
    <hyperlink ref="N37" display="E02" location="'Evidence'!A7"/>
    <hyperlink ref="O37" display="E01" location="'Evidence'!A6"/>
    <hyperlink ref="P37" display="cqws.py at pinned source" r:id="rIdReportLink96"/>
    <hyperlink ref="N38" display="E02" location="'Evidence'!A7"/>
    <hyperlink ref="O38" display="E01" location="'Evidence'!A6"/>
    <hyperlink ref="P38" display="cwo.py at pinned source" r:id="rIdReportLink99"/>
    <hyperlink ref="N39" display="E02" location="'Evidence'!A7"/>
    <hyperlink ref="O39" display="E01" location="'Evidence'!A6"/>
    <hyperlink ref="P39" display="cwt.py at pinned source" r:id="rIdReportLink102"/>
    <hyperlink ref="N40" display="E02" location="'Evidence'!A7"/>
    <hyperlink ref="O40" display="E01" location="'Evidence'!A6"/>
    <hyperlink ref="P40" display="darc_schwaben.py at pinned source" r:id="rIdReportLink105"/>
    <hyperlink ref="N41" display="E02" location="'Evidence'!A7"/>
    <hyperlink ref="O41" display="E01" location="'Evidence'!A6"/>
    <hyperlink ref="P41" display="darc_vhf.py at pinned source" r:id="rIdReportLink108"/>
    <hyperlink ref="N42" display="E02" location="'Evidence'!A7"/>
    <hyperlink ref="O42" display="E01" location="'Evidence'!A6"/>
    <hyperlink ref="P42" display="darc_xmas.py at pinned source" r:id="rIdReportLink111"/>
    <hyperlink ref="N43" display="E02" location="'Evidence'!A7"/>
    <hyperlink ref="O43" display="E01" location="'Evidence'!A6"/>
    <hyperlink ref="P43" display="dxpedition.py at pinned source" r:id="rIdReportLink114"/>
    <hyperlink ref="N44" display="E02" location="'Evidence'!A7"/>
    <hyperlink ref="O44" display="E01" location="'Evidence'!A6"/>
    <hyperlink ref="P44" display="ea_majestad_cw.py at pinned source" r:id="rIdReportLink117"/>
    <hyperlink ref="N45" display="E02" location="'Evidence'!A7"/>
    <hyperlink ref="O45" display="E01" location="'Evidence'!A6"/>
    <hyperlink ref="P45" display="ea_majestad_ssb.py at pinned source" r:id="rIdReportLink120"/>
    <hyperlink ref="N46" display="E02" location="'Evidence'!A7"/>
    <hyperlink ref="O46" display="E01" location="'Evidence'!A6"/>
    <hyperlink ref="P46" display="ea_rtty.py at pinned source" r:id="rIdReportLink123"/>
    <hyperlink ref="N47" display="E02" location="'Evidence'!A7"/>
    <hyperlink ref="O47" display="E01" location="'Evidence'!A6"/>
    <hyperlink ref="P47" display="es_field_day.py at pinned source" r:id="rIdReportLink126"/>
    <hyperlink ref="N48" display="E02" location="'Evidence'!A7"/>
    <hyperlink ref="O48" display="E01" location="'Evidence'!A6"/>
    <hyperlink ref="P48" display="es_ll_kv.py at pinned source" r:id="rIdReportLink129"/>
    <hyperlink ref="N49" display="E02" location="'Evidence'!A7"/>
    <hyperlink ref="O49" display="E01" location="'Evidence'!A6"/>
    <hyperlink ref="P49" display="es_manual_key.py at pinned source" r:id="rIdReportLink132"/>
    <hyperlink ref="N50" display="E02" location="'Evidence'!A7"/>
    <hyperlink ref="O50" display="E01" location="'Evidence'!A6"/>
    <hyperlink ref="P50" display="es_open.py at pinned source" r:id="rIdReportLink135"/>
    <hyperlink ref="N51" display="E02" location="'Evidence'!A7"/>
    <hyperlink ref="O51" display="E01" location="'Evidence'!A6"/>
    <hyperlink ref="P51" display="eudx.py at pinned source" r:id="rIdReportLink138"/>
    <hyperlink ref="N52" display="E02" location="'Evidence'!A7"/>
    <hyperlink ref="O52" display="E01" location="'Evidence'!A6"/>
    <hyperlink ref="P52" display="euhfc.py at pinned source" r:id="rIdReportLink141"/>
    <hyperlink ref="N53" display="E02" location="'Evidence'!A7"/>
    <hyperlink ref="O53" display="E01" location="'Evidence'!A6"/>
    <hyperlink ref="P53" display="general_logging.py at pinned source" r:id="rIdReportLink144"/>
    <hyperlink ref="N54" display="E02" location="'Evidence'!A7"/>
    <hyperlink ref="O54" display="E01" location="'Evidence'!A6"/>
    <hyperlink ref="P54" display="hadx.py at pinned source" r:id="rIdReportLink147"/>
    <hyperlink ref="N55" display="E02" location="'Evidence'!A7"/>
    <hyperlink ref="O55" display="E01" location="'Evidence'!A6"/>
    <hyperlink ref="P55" display="helvetia.py at pinned source" r:id="rIdReportLink150"/>
    <hyperlink ref="N56" display="E02" location="'Evidence'!A7"/>
    <hyperlink ref="O56" display="E01" location="'Evidence'!A6"/>
    <hyperlink ref="P56" display="iaru_fieldday_r1_cw.py at pinned source" r:id="rIdReportLink153"/>
    <hyperlink ref="N57" display="E02" location="'Evidence'!A7"/>
    <hyperlink ref="O57" display="E01" location="'Evidence'!A6"/>
    <hyperlink ref="P57" display="iaru_fieldday_r1_ssb.py at pinned source" r:id="rIdReportLink156"/>
    <hyperlink ref="N58" display="E02" location="'Evidence'!A7"/>
    <hyperlink ref="O58" display="E01" location="'Evidence'!A6"/>
    <hyperlink ref="P58" display="iaru_hf.py at pinned source" r:id="rIdReportLink159"/>
    <hyperlink ref="N59" display="E02" location="'Evidence'!A7"/>
    <hyperlink ref="O59" display="E01" location="'Evidence'!A6"/>
    <hyperlink ref="P59" display="icwc_mst.py at pinned source" r:id="rIdReportLink162"/>
    <hyperlink ref="N60" display="E09" location="'Evidence'!A14"/>
    <hyperlink ref="O60" display="E02" location="'Evidence'!A7"/>
    <hyperlink ref="P60" display="jidx_cw.py at pinned source" r:id="rIdReportLink165"/>
    <hyperlink ref="N61" display="E09" location="'Evidence'!A14"/>
    <hyperlink ref="O61" display="E02" location="'Evidence'!A7"/>
    <hyperlink ref="P61" display="jidx_ph.py at pinned source" r:id="rIdReportLink168"/>
    <hyperlink ref="N62" display="E02" location="'Evidence'!A7"/>
    <hyperlink ref="O62" display="E01" location="'Evidence'!A6"/>
    <hyperlink ref="P62" display="john_moyle_field_day.py at pinned source" r:id="rIdReportLink171"/>
    <hyperlink ref="N63" display="E02" location="'Evidence'!A7"/>
    <hyperlink ref="O63" display="E01" location="'Evidence'!A6"/>
    <hyperlink ref="P63" display="k1usn_sst.py at pinned source" r:id="rIdReportLink174"/>
    <hyperlink ref="N64" display="E02" location="'Evidence'!A7"/>
    <hyperlink ref="O64" display="E01" location="'Evidence'!A6"/>
    <hyperlink ref="P64" display="labre_rs_digi.py at pinned source" r:id="rIdReportLink177"/>
    <hyperlink ref="N65" display="E02" location="'Evidence'!A7"/>
    <hyperlink ref="O65" display="E01" location="'Evidence'!A6"/>
    <hyperlink ref="P65" display="lz-dx.py at pinned source" r:id="rIdReportLink180"/>
    <hyperlink ref="N66" display="E02" location="'Evidence'!A7"/>
    <hyperlink ref="O66" display="E01" location="'Evidence'!A6"/>
    <hyperlink ref="P66" display="nac_vhf.py at pinned source" r:id="rIdReportLink183"/>
    <hyperlink ref="N67" display="E07" location="'Evidence'!A12"/>
    <hyperlink ref="O67" display="E01" location="'Evidence'!A6"/>
    <hyperlink ref="P67" display="naqp_cw.py at pinned source" r:id="rIdReportLink186"/>
    <hyperlink ref="N68" display="E07" location="'Evidence'!A12"/>
    <hyperlink ref="O68" display="E01" location="'Evidence'!A6"/>
    <hyperlink ref="P68" display="naqp_rtty.py at pinned source" r:id="rIdReportLink189"/>
    <hyperlink ref="N69" display="E07" location="'Evidence'!A12"/>
    <hyperlink ref="O69" display="E01" location="'Evidence'!A6"/>
    <hyperlink ref="P69" display="naqp_ssb.py at pinned source" r:id="rIdReportLink192"/>
    <hyperlink ref="N70" display="E05" location="'Evidence'!A10"/>
    <hyperlink ref="O70" display="E02" location="'Evidence'!A7"/>
    <hyperlink ref="P70" display="oceania_dx_cw.py at pinned source" r:id="rIdReportLink195"/>
    <hyperlink ref="N71" display="E05" location="'Evidence'!A10"/>
    <hyperlink ref="O71" display="E02" location="'Evidence'!A7"/>
    <hyperlink ref="P71" display="oceania_dx_ssb.py at pinned source" r:id="rIdReportLink198"/>
    <hyperlink ref="N72" display="E02" location="'Evidence'!A7"/>
    <hyperlink ref="O72" display="E01" location="'Evidence'!A6"/>
    <hyperlink ref="P72" display="ok1wc.py at pinned source" r:id="rIdReportLink201"/>
    <hyperlink ref="N73" display="E02" location="'Evidence'!A7"/>
    <hyperlink ref="O73" display="E01" location="'Evidence'!A6"/>
    <hyperlink ref="P73" display="pacc.py at pinned source" r:id="rIdReportLink204"/>
    <hyperlink ref="N74" display="E02" location="'Evidence'!A7"/>
    <hyperlink ref="O74" display="E01" location="'Evidence'!A6"/>
    <hyperlink ref="P74" display="phone_weekly_test.py at pinned source" r:id="rIdReportLink207"/>
    <hyperlink ref="N75" display="E02" location="'Evidence'!A7"/>
    <hyperlink ref="O75" display="E01" location="'Evidence'!A6"/>
    <hyperlink ref="P75" display="qso_party_rst.py at pinned source" r:id="rIdReportLink210"/>
    <hyperlink ref="N76" display="E02" location="'Evidence'!A7"/>
    <hyperlink ref="O76" display="E01" location="'Evidence'!A6"/>
    <hyperlink ref="P76" display="qso_party_sn.py at pinned source" r:id="rIdReportLink213"/>
    <hyperlink ref="N77" display="E02" location="'Evidence'!A7"/>
    <hyperlink ref="O77" display="E01" location="'Evidence'!A6"/>
    <hyperlink ref="P77" display="raem.py at pinned source" r:id="rIdReportLink216"/>
    <hyperlink ref="N78" display="E02" location="'Evidence'!A7"/>
    <hyperlink ref="O78" display="E01" location="'Evidence'!A6"/>
    <hyperlink ref="P78" display="randomgram.py at pinned source" r:id="rIdReportLink219"/>
    <hyperlink ref="N79" display="E02" location="'Evidence'!A7"/>
    <hyperlink ref="O79" display="E01" location="'Evidence'!A6"/>
    <hyperlink ref="P79" display="rda_contest.py at pinned source" r:id="rIdReportLink222"/>
    <hyperlink ref="N80" display="E02" location="'Evidence'!A7"/>
    <hyperlink ref="O80" display="E01" location="'Evidence'!A6"/>
    <hyperlink ref="P80" display="rdxc.py at pinned source" r:id="rIdReportLink225"/>
    <hyperlink ref="N81" display="E02" location="'Evidence'!A7"/>
    <hyperlink ref="O81" display="E01" location="'Evidence'!A6"/>
    <hyperlink ref="P81" display="ref_cw.py at pinned source" r:id="rIdReportLink228"/>
    <hyperlink ref="N82" display="E02" location="'Evidence'!A7"/>
    <hyperlink ref="O82" display="E01" location="'Evidence'!A6"/>
    <hyperlink ref="P82" display="ref_ssb.py at pinned source" r:id="rIdReportLink231"/>
    <hyperlink ref="N83" display="E02" location="'Evidence'!A7"/>
    <hyperlink ref="O83" display="E01" location="'Evidence'!A6"/>
    <hyperlink ref="P83" display="rsgb_80m_cc.py at pinned source" r:id="rIdReportLink234"/>
    <hyperlink ref="N84" display="E02" location="'Evidence'!A7"/>
    <hyperlink ref="O84" display="E01" location="'Evidence'!A6"/>
    <hyperlink ref="P84" display="rsgb_commonwealth_beru.py at pinned source" r:id="rIdReportLink237"/>
    <hyperlink ref="N85" display="E02" location="'Evidence'!A7"/>
    <hyperlink ref="O85" display="E01" location="'Evidence'!A6"/>
    <hyperlink ref="P85" display="rsgb_iota.py at pinned source" r:id="rIdReportLink240"/>
    <hyperlink ref="N86" display="E06" location="'Evidence'!A11"/>
    <hyperlink ref="O86" display="E02" location="'Evidence'!A7"/>
    <hyperlink ref="P86" display="sac_cw.py at pinned source" r:id="rIdReportLink243"/>
    <hyperlink ref="N87" display="E06" location="'Evidence'!A11"/>
    <hyperlink ref="O87" display="E02" location="'Evidence'!A7"/>
    <hyperlink ref="P87" display="sac_ssb.py at pinned source" r:id="rIdReportLink246"/>
    <hyperlink ref="N88" display="E02" location="'Evidence'!A7"/>
    <hyperlink ref="O88" display="E01" location="'Evidence'!A6"/>
    <hyperlink ref="P88" display="spdx.py at pinned source" r:id="rIdReportLink249"/>
    <hyperlink ref="N89" display="E02" location="'Evidence'!A7"/>
    <hyperlink ref="O89" display="E01" location="'Evidence'!A6"/>
    <hyperlink ref="P89" display="ssa_mt_cw.py at pinned source" r:id="rIdReportLink252"/>
    <hyperlink ref="N90" display="E02" location="'Evidence'!A7"/>
    <hyperlink ref="O90" display="E01" location="'Evidence'!A6"/>
    <hyperlink ref="P90" display="ssa_mt_ssb.py at pinned source" r:id="rIdReportLink255"/>
    <hyperlink ref="N91" display="E02" location="'Evidence'!A7"/>
    <hyperlink ref="O91" display="E01" location="'Evidence'!A6"/>
    <hyperlink ref="P91" display="stew_perry_topband.py at pinned source" r:id="rIdReportLink258"/>
    <hyperlink ref="N92" display="E02" location="'Evidence'!A7"/>
    <hyperlink ref="O92" display="E01" location="'Evidence'!A6"/>
    <hyperlink ref="P92" display="ta_vhf_uhf_contest.py at pinned source" r:id="rIdReportLink261"/>
    <hyperlink ref="N93" display="E02" location="'Evidence'!A7"/>
    <hyperlink ref="O93" display="E01" location="'Evidence'!A6"/>
    <hyperlink ref="P93" display="trans_tasman.py at pinned source" r:id="rIdReportLink264"/>
    <hyperlink ref="N94" display="E02" location="'Evidence'!A7"/>
    <hyperlink ref="O94" display="E01" location="'Evidence'!A6"/>
    <hyperlink ref="P94" display="ukeidx.py at pinned source" r:id="rIdReportLink267"/>
    <hyperlink ref="N95" display="E02" location="'Evidence'!A7"/>
    <hyperlink ref="O95" display="E01" location="'Evidence'!A6"/>
    <hyperlink ref="P95" display="vhf_sprint.py at pinned source" r:id="rIdReportLink270"/>
    <hyperlink ref="N96" display="E02" location="'Evidence'!A7"/>
    <hyperlink ref="O96" display="E01" location="'Evidence'!A6"/>
    <hyperlink ref="P96" display="wag.py at pinned source" r:id="rIdReportLink273"/>
    <hyperlink ref="N97" display="E02" location="'Evidence'!A7"/>
    <hyperlink ref="O97" display="E01" location="'Evidence'!A6"/>
    <hyperlink ref="P97" display="weekly_rtty.py at pinned source" r:id="rIdReportLink276"/>
    <hyperlink ref="N98" display="E02" location="'Evidence'!A7"/>
    <hyperlink ref="O98" display="E01" location="'Evidence'!A6"/>
    <hyperlink ref="P98" display="wia_remembrance.py at pinned source" r:id="rIdReportLink279"/>
    <hyperlink ref="N99" display="E02" location="'Evidence'!A7"/>
    <hyperlink ref="O99" display="E01" location="'Evidence'!A6"/>
    <hyperlink ref="P99" display="winter_field_day.py at pinned source" r:id="rIdReportLink282"/>
  </hyperlinks>
  <pageMargins left="0.7" right="0.7" top="0.75" bottom="0.75" header="0.3" footer="0.3"/>
  <tableParts count="1">
    <tablePart r:id="R41fce199133a4b7f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13C58"/>
  </sheetPr>
  <sheetViews>
    <sheetView showGridLines="0" workbookViewId="0">
      <pane xSplit="3" ySplit="5" topLeftCell="D6" activePane="bottomRight" state="frozen"/>
    </sheetView>
  </sheetViews>
  <sheetFormatPr defaultRowHeight="15"/>
  <cols>
    <col min="1" max="1" width="8" hidden="0" customWidth="1"/>
    <col min="2" max="2" width="50" hidden="0" customWidth="1"/>
    <col min="3" max="3" width="22" hidden="0" customWidth="1"/>
    <col min="4" max="4" width="49" hidden="0" customWidth="1"/>
    <col min="5" max="5" width="46" hidden="0" customWidth="1"/>
    <col min="6" max="6" width="57" hidden="0" customWidth="1"/>
    <col min="7" max="7" width="51" hidden="0" customWidth="1"/>
    <col min="8" max="8" width="48" hidden="0" customWidth="1"/>
    <col min="9" max="9" width="48" hidden="0" customWidth="1"/>
    <col min="10" max="10" width="18" hidden="0" customWidth="1"/>
    <col min="11" max="11" width="18" hidden="0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29" customHeight="1">
      <c r="A2" s="3" t="str">
        <v>33-feature implementation and parity matrix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0" customHeight="1">
      <c r="A4" s="5" t="str">
        <v>Exact F01–F33 scope retained from the programme. Reuse and candidate work are not completed parity.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6" customHeight="1">
      <c r="A5" s="10" t="str">
        <v>ID</v>
      </c>
      <c r="B5" s="10" t="str">
        <v>Pinned source capability / exact scope</v>
      </c>
      <c r="C5" s="10" t="str">
        <v>Status</v>
      </c>
      <c r="D5" s="10" t="str">
        <v>Integrated implementation</v>
      </c>
      <c r="E5" s="10" t="str">
        <v>Validation available</v>
      </c>
      <c r="F5" s="10" t="str">
        <v>Remaining work / next gate</v>
      </c>
      <c r="G5" s="10" t="str">
        <v>Parity boundary</v>
      </c>
      <c r="H5" s="10" t="str">
        <v>Planned xLog treatment</v>
      </c>
      <c r="I5" s="10" t="str">
        <v>Required completion evidence</v>
      </c>
      <c r="J5" s="10" t="str">
        <v>Implementation evidence</v>
      </c>
      <c r="K5" s="10" t="str">
        <v>Related evidence</v>
      </c>
    </row>
    <row r="6" ht="72" customHeight="1">
      <c r="A6" s="11" t="str">
        <v>F01</v>
      </c>
      <c r="B6" s="11" t="str">
        <v>Create/open/edit contest, categories, station/operator settings; new_contest.py, select_contest.py, ContestInstance</v>
      </c>
      <c r="C6" s="11" t="str">
        <v>Partial</v>
      </c>
      <c r="D6" s="11" t="str">
        <v>Session manager, immutable station/operator snapshots, durable draft/session recovery.</v>
      </c>
      <c r="E6" s="11" t="str">
        <v>Worker/store and UI lifecycle tests for active previews.</v>
      </c>
      <c r="F6" s="11" t="str">
        <v>Complete full category/session-template parity and exclusive module integration.</v>
      </c>
      <c r="G6" s="11" t="str">
        <v>xLog implementation differs architecturally; scope remains partial.</v>
      </c>
      <c r="H6" s="11" t="str">
        <v>New Contest Manager, session templates and frozen station snapshot</v>
      </c>
      <c r="I6" s="11" t="str">
        <v>Restart, switch and duplicate-session tests; categories retained in exports</v>
      </c>
      <c r="J6" s="12" t="str">
        <v>E01</v>
      </c>
      <c r="K6" s="12" t="str">
        <v>E15</v>
      </c>
    </row>
    <row r="7" ht="72" customHeight="1">
      <c r="A7" s="11" t="str">
        <v>F02</v>
      </c>
      <c r="B7" s="11" t="str">
        <v>94 selectable plugins; plugins/, new_contest.ui</v>
      </c>
      <c r="C7" s="11" t="str">
        <v>Partial</v>
      </c>
      <c r="D7" s="11" t="str">
        <v>16 active worker/catalog previews from 94 audited source plugins.</v>
      </c>
      <c r="E7" s="11" t="str">
        <v>94 unique source rows reconciled; registry read confirms 16.</v>
      </c>
      <c r="F7" s="11" t="str">
        <v>Activate remaining 78 with independent rule, lifecycle/export and operator evidence.</v>
      </c>
      <c r="G7" s="11" t="str">
        <v>Activation counts do not establish full contest acceptance.</v>
      </c>
      <c r="H7" s="11" t="str">
        <v>Portable versioned rule registry; all entries in Appendix A</v>
      </c>
      <c r="I7" s="11" t="str">
        <v>Every entry receives a tested disposition; no empty “supported” records</v>
      </c>
      <c r="J7" s="12" t="str">
        <v>E02</v>
      </c>
      <c r="K7" s="12" t="str">
        <v>E03</v>
      </c>
    </row>
    <row r="8" ht="72" customHeight="1">
      <c r="A8" s="11" t="str">
        <v>F03</v>
      </c>
      <c r="B8" s="11" t="str">
        <v>Dynamic exchanges, tab order, parser/prefill/validation</v>
      </c>
      <c r="C8" s="11" t="str">
        <v>Partial</v>
      </c>
      <c r="D8" s="11" t="str">
        <v>Versioned scalar and structured exchange descriptors, raw/normalized values and authoritative validation.</v>
      </c>
      <c r="E8" s="11" t="str">
        <v>Active-family worker/client/UI regressions include correction/reset.</v>
      </c>
      <c r="F8" s="11" t="str">
        <v>All-rule keyboard/tab/parser/prefill cases; call-history application.</v>
      </c>
      <c r="G8" s="11" t="str">
        <v>Descriptor parity covers accepted families only.</v>
      </c>
      <c r="H8" s="11" t="str">
        <v>Contest entry adapter using xLog field styling and editor primitives</v>
      </c>
      <c r="I8" s="11" t="str">
        <v>Keyboard scenarios and exchange edge cases for every rule family</v>
      </c>
      <c r="J8" s="12" t="str">
        <v>E01</v>
      </c>
      <c r="K8" s="12" t="str">
        <v>E14</v>
      </c>
    </row>
    <row r="9" ht="72" customHeight="1">
      <c r="A9" s="11" t="str">
        <v>F04</v>
      </c>
      <c r="B9" s="11" t="str">
        <v>Duplicate checks, points, up to three multiplier flags, recalculation</v>
      </c>
      <c r="C9" s="11" t="str">
        <v>Partial</v>
      </c>
      <c r="D9" s="11" t="str">
        <v>Deterministic checked scoring, duplicate keys and mutation rescoring for active families.</v>
      </c>
      <c r="E9" s="11" t="str">
        <v>Independent fixtures/arithmetic plus store edit/delete/reopen tests.</v>
      </c>
      <c r="F9" s="11" t="str">
        <v>Five source duplicate-policy classes, eight special-duplicate plugins and all-rule import/full-rescore cases.</v>
      </c>
      <c r="G9" s="11" t="str">
        <v>Official-corrected families deliberately diverge from defective source behavior.</v>
      </c>
      <c r="H9" s="11" t="str">
        <v>New deterministic contest engine; all five dupe policies</v>
      </c>
      <c r="I9" s="11" t="str">
        <v>Golden results after create/edit/delete/import and full rescore</v>
      </c>
      <c r="J9" s="12" t="str">
        <v>E02</v>
      </c>
      <c r="K9" s="12" t="str">
        <v>E04</v>
      </c>
    </row>
    <row r="10" ht="72" customHeight="1">
      <c r="A10" s="11" t="str">
        <v>F05</v>
      </c>
      <c r="B10" s="11" t="str">
        <v>Sent serials, prior serials, padding/cut numbers</v>
      </c>
      <c r="C10" s="11" t="str">
        <v>Partial</v>
      </c>
      <c r="D10" s="11" t="str">
        <v>Transactional reservation/commit ledger, durable receipts, frozen sent exchanges.</v>
      </c>
      <c r="E10" s="11" t="str">
        <v>CQ WPX serial non-reuse/restart; ARRL station-side reservation policies.</v>
      </c>
      <c r="F10" s="11" t="str">
        <v>Multi-station/multi-host serial proof and all family formatting/cut-number acceptance.</v>
      </c>
      <c r="G10" s="11" t="str">
        <v>Single-workspace tests do not establish multi-station parity.</v>
      </c>
      <c r="H10" s="11" t="str">
        <v>Transactional reservation/commit ledger; formatting separate from numeric value</v>
      </c>
      <c r="I10" s="11" t="str">
        <v>Crash, double-click, uncertain acknowledgement and multi-station tests</v>
      </c>
      <c r="J10" s="12" t="str">
        <v>E11</v>
      </c>
      <c r="K10" s="12" t="str">
        <v>E08</v>
      </c>
    </row>
    <row r="11" ht="72" customHeight="1">
      <c r="A11" s="11" t="str">
        <v>F06</v>
      </c>
      <c r="B11" s="11" t="str">
        <v>Run / Search &amp; Pounce, ESM, configurable keyboard bindings, corrected-call handling</v>
      </c>
      <c r="C11" s="11" t="str">
        <v>Partial</v>
      </c>
      <c r="D11" s="11" t="str">
        <v>Armed pure Run/S&amp;P reducer and simulated output panel with owner/IME/repeat/stale fences.</v>
      </c>
      <c r="E11" s="11" t="str">
        <v>Eight clean CQ WW/WPX CW/SSB sessions at historical 98db98b.</v>
      </c>
      <c r="F11" s="11" t="str">
        <v>NAQP call-first duplicate repair; all other family operator sequences and full configurable bindings.</v>
      </c>
      <c r="G11" s="11" t="str">
        <v>Simulated intent behavior only; no real output completion.</v>
      </c>
      <c r="H11" s="11" t="str">
        <v>New contest state machine; reuse xLog focus and send ownership</v>
      </c>
      <c r="I11" s="11" t="str">
        <v>No accidental send/log during edit, IME, repeated keys or stale context</v>
      </c>
      <c r="J11" s="12" t="str">
        <v>E20</v>
      </c>
      <c r="K11" s="12" t="str">
        <v>E11</v>
      </c>
    </row>
    <row r="12" ht="72" customHeight="1">
      <c r="A12" s="11" t="str">
        <v>F07</v>
      </c>
      <c r="B12" s="11" t="str">
        <v>F1–F12 CW, free text, speed, auto-CQ, keyer integrations</v>
      </c>
      <c r="C12" s="11" t="str">
        <v>Partial</v>
      </c>
      <c r="D12" s="11" t="str">
        <v>Shared CW template expansion in a local simulation trace. Existing xLog CW owner is reusable.</v>
      </c>
      <c r="E12" s="11" t="str">
        <v>Reducer/panel and historical four-profile coupled tests.</v>
      </c>
      <c r="F12" s="11" t="str">
        <v>F1–F12 profile parity, free text/speed/auto-CQ and actual backend send/stop acceptance.</v>
      </c>
      <c r="G12" s="11" t="str">
        <v>Simulation does not establish CW keyer parity.</v>
      </c>
      <c r="H12" s="11" t="str">
        <v>Reuse CW owner/WinKeyer; add contest profiles, tokens and bounded repeat lifecycle</v>
      </c>
      <c r="I12" s="11" t="str">
        <v>Simulator and operator-observed send/stop tests by backend/platform</v>
      </c>
      <c r="J12" s="12" t="str">
        <v>E20</v>
      </c>
      <c r="K12" s="12" t="str">
        <v>E01</v>
      </c>
    </row>
    <row r="13" ht="72" customHeight="1">
      <c r="A13" s="11" t="str">
        <v>F08</v>
      </c>
      <c r="B13" s="11" t="str">
        <v>cwdaemon and PyWinKeyer/SwiftKeyer network interfaces; cwinterface.py</v>
      </c>
      <c r="C13" s="11" t="str">
        <v>Pending</v>
      </c>
      <c r="D13" s="11" t="str">
        <v>Shared transmit ownership is an architectural reuse point.</v>
      </c>
      <c r="E13" s="11" t="str">
        <v>No contest-specific cwdaemon/PyWinKeyer/SwiftKeyer interoperability acceptance.</v>
      </c>
      <c r="F13" s="11" t="str">
        <v>Implement compatibility adapters, wire fixtures and actual supported backend checks.</v>
      </c>
      <c r="G13" s="11" t="str">
        <v>Direct WinKeyer support alone is not network-protocol equivalence.</v>
      </c>
      <c r="H13" s="11" t="str">
        <v>Compatibility adapters through shared transmit ownership where existing direct WinKeyer is not equivalent</v>
      </c>
      <c r="I13" s="11" t="str">
        <v>Protocol fixtures plus actual supported backend checks</v>
      </c>
      <c r="J13" s="12" t="str">
        <v>E01</v>
      </c>
      <c r="K13" s="12" t="str">
        <v>E20</v>
      </c>
    </row>
    <row r="14" ht="72" customHeight="1">
      <c r="A14" s="11" t="str">
        <v>F09</v>
      </c>
      <c r="B14" s="11" t="str">
        <v>Voice WAV/phonetic sequencing, soundcard selection, radio voice memories</v>
      </c>
      <c r="C14" s="11" t="str">
        <v>Pending</v>
      </c>
      <c r="D14" s="11" t="str">
        <v>SSB simulated trace exists.</v>
      </c>
      <c r="E14" s="11" t="str">
        <v>No contest voice WAV/phonetic/device/PTT runtime acceptance.</v>
      </c>
      <c r="F14" s="11" t="str">
        <v>Audio adapter, contest voice profiles, device removal/end/error/Stop/PTT release.</v>
      </c>
      <c r="G14" s="11" t="str">
        <v>Trace output does not prove voice playback.</v>
      </c>
      <c r="H14" s="11" t="str">
        <v>New audio adapter and contest voice profile; shared PTT owner</v>
      </c>
      <c r="I14" s="11" t="str">
        <v>Device removal, audio end/error, Stop and PTT-release tests</v>
      </c>
      <c r="J14" s="12" t="str">
        <v>E01</v>
      </c>
      <c r="K14" s="12" t="str">
        <v>E20</v>
      </c>
    </row>
    <row r="15" ht="72" customHeight="1">
      <c r="A15" s="11" t="str">
        <v>F10</v>
      </c>
      <c r="B15" s="11" t="str">
        <v>Macros including EXCH, PREVCALL/PREVNR, LOGIT, TX/RX, MARK, SPOT, RUN, SANDP, WIPE, VOICE1–10, RI:</v>
      </c>
      <c r="C15" s="11" t="str">
        <v>Partial</v>
      </c>
      <c r="D15" s="11" t="str">
        <v>Typed operator intent sequences and bounded shared template use.</v>
      </c>
      <c r="E15" s="11" t="str">
        <v>Four-pilot simulated sequence tests.</v>
      </c>
      <c r="F15" s="11" t="str">
        <v>Full legacy macro token/action parser, side-effect-free preview, diagnostics and radio rejection matrix.</v>
      </c>
      <c r="G15" s="11" t="str">
        <v>No broad legacy macro-profile equivalence claim.</v>
      </c>
      <c r="H15" s="11" t="str">
        <v>Parse into typed text/actions, preview without execution; map legacy profiles with diagnostics</v>
      </c>
      <c r="I15" s="11" t="str">
        <v>Token/action coverage; unsupported radio commands explicitly rejected</v>
      </c>
      <c r="J15" s="12" t="str">
        <v>E20</v>
      </c>
      <c r="K15" s="12" t="str">
        <v>E01</v>
      </c>
    </row>
    <row r="16" ht="72" customHeight="1">
      <c r="A16" s="11" t="str">
        <v>F11</v>
      </c>
      <c r="B16" s="11" t="str">
        <v>WSJT-X logged contacts, digital handlers</v>
      </c>
      <c r="C16" s="11" t="str">
        <v>Pending</v>
      </c>
      <c r="D16" s="11" t="str">
        <v>Existing xLog digital parsing/receiving is a reuse candidate.</v>
      </c>
      <c r="E16" s="11" t="str">
        <v>No contest-destination WSJT-X routing acceptance.</v>
      </c>
      <c r="F16" s="11" t="str">
        <v>Destination routing, rule validation, duplicate/late datagrams and contest-switch tests.</v>
      </c>
      <c r="G16" s="11" t="str">
        <v>23 source ft8_handler hooks do not establish rule-permitted FT8.</v>
      </c>
      <c r="H16" s="11" t="str">
        <v>Reuse parser/receiver with explicit contest destination and rule validation</v>
      </c>
      <c r="I16" s="11" t="str">
        <v>Duplicate datagrams, late packets and contest-switch routing tests</v>
      </c>
      <c r="J16" s="12" t="str">
        <v>E01</v>
      </c>
      <c r="K16" s="12" t="str">
        <v>E02</v>
      </c>
    </row>
    <row r="17" ht="72" customHeight="1">
      <c r="A17" s="11" t="str">
        <v>F12</v>
      </c>
      <c r="B17" s="11" t="str">
        <v>FLDIGI ADIF UDP and XML-RPC RTTY sends; fldigi_sendstring.py, main</v>
      </c>
      <c r="C17" s="11" t="str">
        <v>Pending</v>
      </c>
      <c r="D17" s="11" t="str">
        <v>No integrated contest FLDIGI adapter.</v>
      </c>
      <c r="E17" s="11" t="str">
        <v>No receive/XML-RPC send/return-to-RX evidence.</v>
      </c>
      <c r="F17" s="11" t="str">
        <v>Implement ADIF UDP receive and shared-owner RTTY send lifecycle.</v>
      </c>
      <c r="G17" s="11" t="str">
        <v>Plain RTTY logging previews do not implement modem integration.</v>
      </c>
      <c r="H17" s="11" t="str">
        <v>New adapter using shared transmit lifecycle</v>
      </c>
      <c r="I17" s="11" t="str">
        <v>Receive/import and transmit/return-to-RX integration evidence</v>
      </c>
      <c r="J17" s="12" t="str">
        <v>E01</v>
      </c>
      <c r="K17" s="12" t="str">
        <v>E08</v>
      </c>
    </row>
    <row r="18" ht="72" customHeight="1">
      <c r="A18" s="11" t="str">
        <v>F13</v>
      </c>
      <c r="B18" s="11" t="str">
        <v>CAT via rigctld, flrig, TCI; cat_*.py</v>
      </c>
      <c r="C18" s="11" t="str">
        <v>Pending integration</v>
      </c>
      <c r="D18" s="11" t="str">
        <v>xLog Hamlib/TCI/embedded xCat ownership can be reused.</v>
      </c>
      <c r="E18" s="11" t="str">
        <v>Contesting acceptance runs disable station I/O.</v>
      </c>
      <c r="F18" s="11" t="str">
        <v>Provider capability matrix, flrig compatibility and observed frequency/mode/Stop checks.</v>
      </c>
      <c r="G18" s="11" t="str">
        <v>Existing normal-log CAT is not contest-specific provider acceptance.</v>
      </c>
      <c r="H18" s="11" t="str">
        <v>Reuse Hamlib/TCI/embedded xCat; flrig compatibility is new work</v>
      </c>
      <c r="I18" s="11" t="str">
        <v>Capability matrix per provider; observed frequency/mode and stop behavior</v>
      </c>
      <c r="J18" s="12" t="str">
        <v>E01</v>
      </c>
      <c r="K18" s="12" t="str">
        <v>E15</v>
      </c>
    </row>
    <row r="19" ht="72" customHeight="1">
      <c r="A19" s="11" t="str">
        <v>F14</v>
      </c>
      <c r="B19" s="11" t="str">
        <v>rotctld rotator, bearings; rotator.py, rot_interface.py</v>
      </c>
      <c r="C19" s="11" t="str">
        <v>Pending integration</v>
      </c>
      <c r="D19" s="11" t="str">
        <v>Existing xLog rotor and geographic helpers are reusable.</v>
      </c>
      <c r="E19" s="11" t="str">
        <v>No contest-specific rotctld/ownership acceptance.</v>
      </c>
      <c r="F19" s="11" t="str">
        <v>Connect through station owner and verify stale-generation and bearing controls.</v>
      </c>
      <c r="G19" s="11" t="str">
        <v>Reuse decision is not completed parity.</v>
      </c>
      <c r="H19" s="11" t="str">
        <v>Reuse xLog rotor/geo services</v>
      </c>
      <c r="I19" s="11" t="str">
        <v>Existing ownership and stale-generation protections remain effective</v>
      </c>
      <c r="J19" s="12" t="str">
        <v>E01</v>
      </c>
      <c r="K19" s="12" t="str">
        <v>E15</v>
      </c>
    </row>
    <row r="20" ht="72" customHeight="1">
      <c r="A20" s="11" t="str">
        <v>F15</v>
      </c>
      <c r="B20" s="11" t="str">
        <v>Cluster, bandmap, local mark/CQ marker, spots, tune/navigation; clusterwindow.py, bandmap.py</v>
      </c>
      <c r="C20" s="11" t="str">
        <v>Pending integration</v>
      </c>
      <c r="D20" s="11" t="str">
        <v>Existing feed/map UI and queued spot routing identified.</v>
      </c>
      <c r="E20" s="11" t="str">
        <v>Module contract audits debounce, queued spot and recovery retirement.</v>
      </c>
      <c r="F20" s="11" t="str">
        <v>Contest dupe/multiplier bandmap projection, local marks/CQ marker and spot navigation.</v>
      </c>
      <c r="G20" s="11" t="str">
        <v>Normal DX classification remains separate from contest-needed state.</v>
      </c>
      <c r="H20" s="11" t="str">
        <v>Reuse feed and map UI; add contest dupe/multiplier projection</v>
      </c>
      <c r="I20" s="11" t="str">
        <v>Normal DX classification and contest-needed status remain distinct</v>
      </c>
      <c r="J20" s="12" t="str">
        <v>E15</v>
      </c>
      <c r="K20" s="12" t="str">
        <v>E01</v>
      </c>
    </row>
    <row r="21" ht="72" customHeight="1">
      <c r="A21" s="11" t="str">
        <v>F16</v>
      </c>
      <c r="B21" s="11" t="str">
        <v>QRZ and HamQTH lookup; lookup.py, lookupservice.py</v>
      </c>
      <c r="C21" s="11" t="str">
        <v>Pending integration</v>
      </c>
      <c r="D21" s="11" t="str">
        <v>Existing QRZ/CTY enrichment foundation.</v>
      </c>
      <c r="E21" s="11" t="str">
        <v>No contest QRZ/HamQTH fallback/non-overwrite acceptance.</v>
      </c>
      <c r="F21" s="11" t="str">
        <v>HamQTH adapter and explicit nonblocking enrichment without typed-exchange overwrite.</v>
      </c>
      <c r="G21" s="11" t="str">
        <v>Existing lookup availability does not close contest behavior.</v>
      </c>
      <c r="H21" s="11" t="str">
        <v>QRZ/CTY reuse; HamQTH adapter; offline fallback</v>
      </c>
      <c r="I21" s="11" t="str">
        <v>Enrichment never overwrites typed exchange; unavailable service stays nonblocking</v>
      </c>
      <c r="J21" s="12" t="str">
        <v>E01</v>
      </c>
      <c r="K21" s="12" t="str">
        <v>E14</v>
      </c>
    </row>
    <row r="22" ht="72" customHeight="1">
      <c r="A22" s="11" t="str">
        <v>F17</v>
      </c>
      <c r="B22" s="11" t="str">
        <v>Super Check Partial, fuzzy candidates, recent spots/local-log candidates</v>
      </c>
      <c r="C22" s="11" t="str">
        <v>Partial</v>
      </c>
      <c r="D22" s="11" t="str">
        <v>Offline SCP index, private import/cache, worker queries/cancel/select and UI assistance.</v>
      </c>
      <c r="E22" s="11" t="str">
        <v>Clean coupled import/ranking/select/restart at 98db98b; local p95 timing.</v>
      </c>
      <c r="F22" s="11" t="str">
        <v>Mounted-panel external-generation discovery, official provider flow, native chooser/package and integrated latency.</v>
      </c>
      <c r="G22" s="11" t="str">
        <v>Prefix/fuzzy evidence exists; recent spots/local-log candidate parity remains open.</v>
      </c>
      <c r="H22" s="11" t="str">
        <v>New SCP index using xLog intelligence surface</v>
      </c>
      <c r="I22" s="11" t="str">
        <v>Prefix/fuzzy behavior, offline refresh, bounded latency and source attribution</v>
      </c>
      <c r="J22" s="12" t="str">
        <v>E12</v>
      </c>
      <c r="K22" s="12" t="str">
        <v>E13</v>
      </c>
    </row>
    <row r="23" ht="72" customHeight="1">
      <c r="A23" s="11" t="str">
        <v>F18</v>
      </c>
      <c r="B23" s="11" t="str">
        <v>Call-history import and assistance; audited pinned source has no export/generator route</v>
      </c>
      <c r="C23" s="11" t="str">
        <v>Separate branch only</v>
      </c>
      <c r="D23" s="11" t="str">
        <v>Audited contract integrated. Reviewed phase-1 core/service 719165a is pushed separately; foundation integration open.</v>
      </c>
      <c r="E23" s="11" t="str">
        <v>20 native / 44 portable supplied; root independently passes 17 history tests including large UTF-8 reopen.</v>
      </c>
      <c r="F23" s="11" t="str">
        <v>Integrate accepted core/service; picker, worker, UI, explicit selection and blank-only stale-fenced draft proposals.</v>
      </c>
      <c r="G23" s="11" t="str">
        <v>No upstream export/generator route. Correct CqZone/CQZone defect; retain Exch1/Exchange1 distinction.</v>
      </c>
      <c r="H23" s="11" t="str">
        <v>New contest history store and blank-only mappings; reuse file chooser/import preview; exact contract records active consumers and schema defects</v>
      </c>
      <c r="I23" s="11" t="str">
        <v>Every documented key retained; explicit selection and stale-context fences; no invented export/generation parity claim</v>
      </c>
      <c r="J23" s="12" t="str">
        <v>E14</v>
      </c>
      <c r="K23" s="12" t="str">
        <v>E01</v>
      </c>
    </row>
    <row r="24" ht="72" customHeight="1">
      <c r="A24" s="11" t="str">
        <v>F19</v>
      </c>
      <c r="B24" s="11" t="str">
        <v>Log view, edit/delete, claimed-QSO state, statistics/rate, DXCC/zone trackers</v>
      </c>
      <c r="C24" s="11" t="str">
        <v>Partial</v>
      </c>
      <c r="D24" s="11" t="str">
        <v>Paged contest log, separate contact editor/delete and authoritative scalar score/multiplier labels.</v>
      </c>
      <c r="E24" s="11" t="str">
        <v>Active-family store/worker/UI correction/deletion and rescoring tests.</v>
      </c>
      <c r="F24" s="11" t="str">
        <v>Claimed-QSO workflow, statistics/rate windows, DXCC/zone tracker parity and all-rule cases.</v>
      </c>
      <c r="G24" s="11" t="str">
        <v>Bounded log/score projections do not establish whole statistics suite.</v>
      </c>
      <c r="H24" s="11" t="str">
        <v>Reuse table and windows; new contest projections and rescoring</v>
      </c>
      <c r="I24" s="11" t="str">
        <v>Rate windows and mult status verified against independent calculations</v>
      </c>
      <c r="J24" s="12" t="str">
        <v>E01</v>
      </c>
      <c r="K24" s="12" t="str">
        <v>E11</v>
      </c>
    </row>
    <row r="25" ht="72" customHeight="1">
      <c r="A25" s="11" t="str">
        <v>F20</v>
      </c>
      <c r="B25" s="11" t="str">
        <v>ADIF import/export</v>
      </c>
      <c r="C25" s="11" t="str">
        <v>Partial</v>
      </c>
      <c r="D25" s="11" t="str">
        <v>Contest ADIF serializers/mappings and export snapshot/save pipeline.</v>
      </c>
      <c r="E25" s="11" t="str">
        <v>Active-family output fixtures and independently parsed historical exports.</v>
      </c>
      <c r="F25" s="11" t="str">
        <v>Contest ADIF import, unknown-field preservation and complete round-trip reconciliation.</v>
      </c>
      <c r="G25" s="11" t="str">
        <v>Export evidence does not prove import parity.</v>
      </c>
      <c r="H25" s="11" t="str">
        <v>Reuse xLog parser/unknown-field preservation; add contest mapping</v>
      </c>
      <c r="I25" s="11" t="str">
        <v>Exchange, serials, IDs and app fields survive round trips</v>
      </c>
      <c r="J25" s="12" t="str">
        <v>E21</v>
      </c>
      <c r="K25" s="12" t="str">
        <v>E11</v>
      </c>
    </row>
    <row r="26" ht="72" customHeight="1">
      <c r="A26" s="11" t="str">
        <v>F21</v>
      </c>
      <c r="B26" s="11" t="str">
        <v>Cabrillo per-plugin output</v>
      </c>
      <c r="C26" s="11" t="str">
        <v>Partial</v>
      </c>
      <c r="D26" s="11" t="str">
        <v>Versioned Cabrillo serializers for active preview families.</v>
      </c>
      <c r="E26" s="11" t="str">
        <v>Golden bytes and worker-captured independently parsed outputs.</v>
      </c>
      <c r="F26" s="11" t="str">
        <v>Remaining 78 plugin formats, full sponsor headers/category/date checks and submission acceptance.</v>
      </c>
      <c r="G26" s="11" t="str">
        <v>Source-derived and official-corrected output are explicitly labeled.</v>
      </c>
      <c r="H26" s="11" t="str">
        <v>New versioned serializers; preserve supported fields/encoding</v>
      </c>
      <c r="I26" s="11" t="str">
        <v>Exact header/QSO fixtures, frequency units and per-contest format validation</v>
      </c>
      <c r="J26" s="12" t="str">
        <v>E21</v>
      </c>
      <c r="K26" s="12" t="str">
        <v>E02</v>
      </c>
    </row>
    <row r="27" ht="72" customHeight="1">
      <c r="A27" s="11" t="str">
        <v>F22</v>
      </c>
      <c r="B27" s="11" t="str">
        <v>EDI: DARC VHF, NAC VHF, TA VHF/UHF</v>
      </c>
      <c r="C27" s="11" t="str">
        <v>Pending</v>
      </c>
      <c r="D27" s="11" t="str">
        <v>Geo helpers available for reuse.</v>
      </c>
      <c r="E27" s="11" t="str">
        <v>No EDI serializer acceptance.</v>
      </c>
      <c r="F27" s="11" t="str">
        <v>DARC VHF, NAC VHF and TA VHF/UHF golden files plus distance/grid cases.</v>
      </c>
      <c r="G27" s="11" t="str">
        <v>Three source EDI hooks remain required.</v>
      </c>
      <c r="H27" s="11" t="str">
        <v>New EDI serializers using existing geo helpers</v>
      </c>
      <c r="I27" s="11" t="str">
        <v>Three family-specific golden outputs and distance/grid checks</v>
      </c>
      <c r="J27" s="12" t="str">
        <v>E01</v>
      </c>
      <c r="K27" s="12" t="str">
        <v>E02</v>
      </c>
    </row>
    <row r="28" ht="72" customHeight="1">
      <c r="A28" s="11" t="str">
        <v>F23</v>
      </c>
      <c r="B28" s="11" t="str">
        <v>Real-time XML scoreboard; rtc_service.py, online_score_xml</v>
      </c>
      <c r="C28" s="11" t="str">
        <v>Pending</v>
      </c>
      <c r="D28" s="11" t="str">
        <v>Optional reporter design only.</v>
      </c>
      <c r="E28" s="11" t="str">
        <v>No XML wire/interval/retry/live opt-in evidence.</v>
      </c>
      <c r="F28" s="11" t="str">
        <v>Secure credentials, bounded background reporter and recorded/live receiver checks.</v>
      </c>
      <c r="G28" s="11" t="str">
        <v>No scoreboard parity claimed.</v>
      </c>
      <c r="H28" s="11" t="str">
        <v>New optional reporter, secure credential store, bounded background work</v>
      </c>
      <c r="I28" s="11" t="str">
        <v>Recorded payloads, interval/error/retry tests; live opt-in acceptance</v>
      </c>
      <c r="J28" s="12" t="str">
        <v>E01</v>
      </c>
      <c r="K28" s="12" t="str">
        <v>E15</v>
      </c>
    </row>
    <row r="29" ht="72" customHeight="1">
      <c r="A29" s="11" t="str">
        <v>F24</v>
      </c>
      <c r="B29" s="11" t="str">
        <v>N1MM-style radio/contact/update/delete/score packets; lib/n1mm.py</v>
      </c>
      <c r="C29" s="11" t="str">
        <v>Pending</v>
      </c>
      <c r="D29" s="11" t="str">
        <v>No integrated contest N1MM UDP output.</v>
      </c>
      <c r="E29" s="11" t="str">
        <v>No receiver/wire evidence.</v>
      </c>
      <c r="F29" s="11" t="str">
        <v>Radio/contact/update/delete/score packets and receiver verification.</v>
      </c>
      <c r="G29" s="11" t="str">
        <v>Source N1MM-style packets do not imply N1MM+ interoperability.</v>
      </c>
      <c r="H29" s="11" t="str">
        <v>New optional UDP output adapter</v>
      </c>
      <c r="I29" s="11" t="str">
        <v>Wire fixtures and receiver verification; no claim of N1MM+ interoperability</v>
      </c>
      <c r="J29" s="12" t="str">
        <v>E01</v>
      </c>
      <c r="K29" s="12" t="str">
        <v>E15</v>
      </c>
    </row>
    <row r="30" ht="72" customHeight="1">
      <c r="A30" s="11" t="str">
        <v>F25</v>
      </c>
      <c r="B30" s="11" t="str">
        <v>Multi-Multi master/client, serial/dupe queries, contact replay, chat</v>
      </c>
      <c r="C30" s="11" t="str">
        <v>Pending</v>
      </c>
      <c r="D30" s="11" t="str">
        <v>Separate network workstream identified; local mutation ledger is a foundation.</v>
      </c>
      <c r="E30" s="11" t="str">
        <v>No multi-host renfield/master/client evidence.</v>
      </c>
      <c r="F30" s="11" t="str">
        <v>Disconnect/replay/conflicts/chat and multi-station serial/duplicate uniqueness.</v>
      </c>
      <c r="G30" s="11" t="str">
        <v>Single-user durability does not establish Multi-Multi.</v>
      </c>
      <c r="H30" s="11" t="str">
        <v>Separate network workstream; renfield protocol dependency</v>
      </c>
      <c r="I30" s="11" t="str">
        <v>Multiple hosts, disconnect/reconnect, conflict and serial uniqueness evidence</v>
      </c>
      <c r="J30" s="12" t="str">
        <v>E01</v>
      </c>
      <c r="K30" s="12" t="str">
        <v>E15</v>
      </c>
    </row>
    <row r="31" ht="72" customHeight="1">
      <c r="A31" s="11" t="str">
        <v>F26</v>
      </c>
      <c r="B31" s="11" t="str">
        <v>Operator change and rover location</v>
      </c>
      <c r="C31" s="11" t="str">
        <v>Partial</v>
      </c>
      <c r="D31" s="11" t="str">
        <v>Immutable initial station/operator/QSO provenance snapshots.</v>
      </c>
      <c r="E31" s="11" t="str">
        <v>Store lifecycle preservation for active families.</v>
      </c>
      <c r="F31" s="11" t="str">
        <v>Operator-change and rover-location workflow, archived score/provenance checks.</v>
      </c>
      <c r="G31" s="11" t="str">
        <v>Initial frozen identity is narrower than changing operator/location parity.</v>
      </c>
      <c r="H31" s="11" t="str">
        <v>New immutable operator/location snapshots on QSO</v>
      </c>
      <c r="I31" s="11" t="str">
        <v>Changes do not rewrite earlier QSOs or invalidate archived score silently</v>
      </c>
      <c r="J31" s="12" t="str">
        <v>E01</v>
      </c>
      <c r="K31" s="12" t="str">
        <v>E02</v>
      </c>
    </row>
    <row r="32" ht="72" customHeight="1">
      <c r="A32" s="11" t="str">
        <v>F27</v>
      </c>
      <c r="B32" s="11" t="str">
        <v>Remote VFO/Pico USB knob; vfo.py, usb_vfo_knob/</v>
      </c>
      <c r="C32" s="11" t="str">
        <v>Pending</v>
      </c>
      <c r="D32" s="11" t="str">
        <v>Station owner is the proposed device admission boundary.</v>
      </c>
      <c r="E32" s="11" t="str">
        <v>No Pico/USB VFO knob contest acceptance.</v>
      </c>
      <c r="F32" s="11" t="str">
        <v>Explicit device selection and COM/macOS/Linux permission/hotplug matrix.</v>
      </c>
      <c r="G32" s="11" t="str">
        <v>No portable device parity inferred.</v>
      </c>
      <c r="H32" s="11" t="str">
        <v>Portable explicit device selection through station owner</v>
      </c>
      <c r="I32" s="11" t="str">
        <v>Windows COM, macOS and Linux serial permission/hotplug tests</v>
      </c>
      <c r="J32" s="12" t="str">
        <v>E01</v>
      </c>
      <c r="K32" s="12" t="str">
        <v>E15</v>
      </c>
    </row>
    <row r="33" ht="72" customHeight="1">
      <c r="A33" s="11" t="str">
        <v>F28</v>
      </c>
      <c r="B33" s="11" t="str">
        <v>Languages, theme, fonts, docking and preferences</v>
      </c>
      <c r="C33" s="11" t="str">
        <v>Partial</v>
      </c>
      <c r="D33" s="11" t="str">
        <v>Shared xLog visual styling, responsive entry/log UI and existing appearance behavior.</v>
      </c>
      <c r="E33" s="11" t="str">
        <v>Focused frontend tests/build and review-sized browser views.</v>
      </c>
      <c r="F33" s="11" t="str">
        <v>Translations, preferences migration, docking/window/scaled-layout and keyboard-label review.</v>
      </c>
      <c r="G33" s="11" t="str">
        <v>Visual consistency is narrower than all source preferences.</v>
      </c>
      <c r="H33" s="11" t="str">
        <v>Use xLog appearance/window behavior; migrate relevant language text and settings</v>
      </c>
      <c r="I33" s="11" t="str">
        <v>Same UI conventions, scaled layouts, keyboard labels and translations review</v>
      </c>
      <c r="J33" s="12" t="str">
        <v>E01</v>
      </c>
      <c r="K33" s="12" t="str">
        <v>E15</v>
      </c>
    </row>
    <row r="34" ht="72" customHeight="1">
      <c r="A34" s="11" t="str">
        <v>F29</v>
      </c>
      <c r="B34" s="11" t="str">
        <v>Existing Not1MM SQLite logs and settings</v>
      </c>
      <c r="C34" s="11" t="str">
        <v>Pending</v>
      </c>
      <c r="D34" s="11" t="str">
        <v>Read-only migration/provenance/reconciliation contract proposed.</v>
      </c>
      <c r="E34" s="11" t="str">
        <v>No Not1MM SQLite/settings import acceptance.</v>
      </c>
      <c r="F34" s="11" t="str">
        <v>Preview/counts/categories/exchanges/raw fields/hash reconciliation.</v>
      </c>
      <c r="G34" s="11" t="str">
        <v>No existing user data migration performed.</v>
      </c>
      <c r="H34" s="11" t="str">
        <v>Read-only import preview with provenance and reconciliation</v>
      </c>
      <c r="I34" s="11" t="str">
        <v>Counts, categories, exchanges, raw fields and source hashes accounted for</v>
      </c>
      <c r="J34" s="12" t="str">
        <v>E01</v>
      </c>
      <c r="K34" s="12" t="str">
        <v>E02</v>
      </c>
    </row>
    <row r="35" ht="72" customHeight="1">
      <c r="A35" s="11" t="str">
        <v>F30</v>
      </c>
      <c r="B35" s="11" t="str">
        <v>UDC parsing helpers; parse_udc.py, ham_utility.py</v>
      </c>
      <c r="C35" s="11" t="str">
        <v>Pending scoped evaluation</v>
      </c>
      <c r="D35" s="11" t="str">
        <v>UDC helper semantics identified in pinned source.</v>
      </c>
      <c r="E35" s="11" t="str">
        <v>No custom-contest workflow acceptance.</v>
      </c>
      <c r="F35" s="11" t="str">
        <v>Document supported parsing subset; separate executable custom-rule contract if needed.</v>
      </c>
      <c r="G35" s="11" t="str">
        <v>Upstream has helpers; audit found no complete main custom-contest workflow.</v>
      </c>
      <c r="H35" s="11" t="str">
        <v>Preserve/evaluate parsing semantics; no complete custom-contest workflow found in main</v>
      </c>
      <c r="I35" s="11" t="str">
        <v>Document supported subset; executable custom rules require a separate contract</v>
      </c>
      <c r="J35" s="12" t="str">
        <v>E01</v>
      </c>
      <c r="K35" s="12" t="str">
        <v>E02</v>
      </c>
    </row>
    <row r="36" ht="72" customHeight="1">
      <c r="A36" s="11" t="str">
        <v>F31</v>
      </c>
      <c r="B36" s="11" t="str">
        <v>General Logging and DX-Pedition plugins</v>
      </c>
      <c r="C36" s="11" t="str">
        <v>Pending equivalence</v>
      </c>
      <c r="D36" s="11" t="str">
        <v>Normal xLog identified for possible General Logging / DX-Pedition reuse.</v>
      </c>
      <c r="E36" s="11" t="str">
        <v>No explicit source-session equivalence/import disposition accepted.</v>
      </c>
      <c r="F36" s="11" t="str">
        <v>Preserve session identity/provenance and prove field/category mapping.</v>
      </c>
      <c r="G36" s="11" t="str">
        <v>Do not mark the two source plugins completed solely because normal logging exists.</v>
      </c>
      <c r="H36" s="11" t="str">
        <v>Reuse normal xLog where equivalent; retain source session identity on import</v>
      </c>
      <c r="I36" s="11" t="str">
        <v>Explicit mapping, no duplicated normal logger or silently discarded plugin</v>
      </c>
      <c r="J36" s="12" t="str">
        <v>E01</v>
      </c>
      <c r="K36" s="12" t="str">
        <v>E02</v>
      </c>
    </row>
    <row r="37" ht="72" customHeight="1">
      <c r="A37" s="11" t="str">
        <v>F32</v>
      </c>
      <c r="B37" s="11" t="str">
        <v>SO2R and broader Multi-Op listed in Things_To_Do.md</v>
      </c>
      <c r="C37" s="11" t="str">
        <v>Upstream limitation</v>
      </c>
      <c r="D37" s="11" t="str">
        <v>SO2R / broader Multi-Op appears in source Things_To_Do.md.</v>
      </c>
      <c r="E37" s="11" t="str">
        <v>No mature upstream SO2R parity target established.</v>
      </c>
      <c r="F37" s="11" t="str">
        <v>Explicit product-extension scope decision; complete separately required F25 Multi-Multi.</v>
      </c>
      <c r="G37" s="11" t="str">
        <v>Upstream limitation is not a completed xLog feature or silent omission.</v>
      </c>
      <c r="H37" s="11" t="str">
        <v>Upstream limitation; do not claim mature SO2R from a port</v>
      </c>
      <c r="I37" s="11" t="str">
        <v>Product extension only after explicit scope decision; Multi-Multi F25 still required</v>
      </c>
      <c r="J37" s="12" t="str">
        <v>E01</v>
      </c>
      <c r="K37" s="12" t="str">
        <v>E15</v>
      </c>
    </row>
    <row r="38" ht="72" customHeight="1">
      <c r="A38" s="11" t="str">
        <v>F33</v>
      </c>
      <c r="B38" s="11" t="str">
        <v>Help/manual, reference updates, legacy packaging/assets</v>
      </c>
      <c r="C38" s="11" t="str">
        <v>Partial</v>
      </c>
      <c r="D38" s="11" t="str">
        <v>Extensive source/contracts/test provenance and isolated cross-platform test workflow.</v>
      </c>
      <c r="E38" s="11" t="str">
        <v>Previous native six-job compile/test matrices.</v>
      </c>
      <c r="F38" s="11" t="str">
        <v>Help/manual, reference-update policy, dependency/notices/data audit and three-OS clean packages/install/runtime.</v>
      </c>
      <c r="G38" s="11" t="str">
        <v>No contest package/install release from this worktree.</v>
      </c>
      <c r="H38" s="11" t="str">
        <v>xLog help and platform packaging; retain notices/data provenance</v>
      </c>
      <c r="I38" s="11" t="str">
        <v>Documentation, clean install, dependency inventory and bundled-data review</v>
      </c>
      <c r="J38" s="12" t="str">
        <v>E16</v>
      </c>
      <c r="K38" s="12" t="str">
        <v>E22</v>
      </c>
    </row>
  </sheetData>
  <conditionalFormatting sqref="C6:C38">
    <cfRule type="containsText" dxfId="6" priority="1" operator="containsText" text="Pending"/>
    <cfRule type="containsText" dxfId="7" priority="2" operator="containsText" text="Partial"/>
    <cfRule type="containsText" dxfId="8" priority="3" operator="containsText" text="Open"/>
    <cfRule type="containsText" dxfId="9" priority="4" operator="containsText" text="Changes required"/>
    <cfRule type="containsText" dxfId="10" priority="5" operator="containsText" text="Candidate"/>
    <cfRule type="containsText" dxfId="11" priority="6" operator="containsText" text="Active preview"/>
  </conditionalFormatting>
  <hyperlinks>
    <hyperlink ref="J6" display="E01" location="'Evidence'!A6"/>
    <hyperlink ref="K6" display="E15" location="'Evidence'!A20"/>
    <hyperlink ref="J7" display="E02" location="'Evidence'!A7"/>
    <hyperlink ref="K7" display="E03" location="'Evidence'!A8"/>
    <hyperlink ref="J8" display="E01" location="'Evidence'!A6"/>
    <hyperlink ref="K8" display="E14" location="'Evidence'!A19"/>
    <hyperlink ref="J9" display="E02" location="'Evidence'!A7"/>
    <hyperlink ref="K9" display="E04" location="'Evidence'!A9"/>
    <hyperlink ref="J10" display="E11" location="'Evidence'!A16"/>
    <hyperlink ref="K10" display="E08" location="'Evidence'!A13"/>
    <hyperlink ref="J11" display="E20" location="'Evidence'!A25"/>
    <hyperlink ref="K11" display="E11" location="'Evidence'!A16"/>
    <hyperlink ref="J12" display="E20" location="'Evidence'!A25"/>
    <hyperlink ref="K12" display="E01" location="'Evidence'!A6"/>
    <hyperlink ref="J13" display="E01" location="'Evidence'!A6"/>
    <hyperlink ref="K13" display="E20" location="'Evidence'!A25"/>
    <hyperlink ref="J14" display="E01" location="'Evidence'!A6"/>
    <hyperlink ref="K14" display="E20" location="'Evidence'!A25"/>
    <hyperlink ref="J15" display="E20" location="'Evidence'!A25"/>
    <hyperlink ref="K15" display="E01" location="'Evidence'!A6"/>
    <hyperlink ref="J16" display="E01" location="'Evidence'!A6"/>
    <hyperlink ref="K16" display="E02" location="'Evidence'!A7"/>
    <hyperlink ref="J17" display="E01" location="'Evidence'!A6"/>
    <hyperlink ref="K17" display="E08" location="'Evidence'!A13"/>
    <hyperlink ref="J18" display="E01" location="'Evidence'!A6"/>
    <hyperlink ref="K18" display="E15" location="'Evidence'!A20"/>
    <hyperlink ref="J19" display="E01" location="'Evidence'!A6"/>
    <hyperlink ref="K19" display="E15" location="'Evidence'!A20"/>
    <hyperlink ref="J20" display="E15" location="'Evidence'!A20"/>
    <hyperlink ref="K20" display="E01" location="'Evidence'!A6"/>
    <hyperlink ref="J21" display="E01" location="'Evidence'!A6"/>
    <hyperlink ref="K21" display="E14" location="'Evidence'!A19"/>
    <hyperlink ref="J22" display="E12" location="'Evidence'!A17"/>
    <hyperlink ref="K22" display="E13" location="'Evidence'!A18"/>
    <hyperlink ref="J23" display="E14" location="'Evidence'!A19"/>
    <hyperlink ref="K23" display="E01" location="'Evidence'!A6"/>
    <hyperlink ref="J24" display="E01" location="'Evidence'!A6"/>
    <hyperlink ref="K24" display="E11" location="'Evidence'!A16"/>
    <hyperlink ref="J25" display="E21" location="'Evidence'!A26"/>
    <hyperlink ref="K25" display="E11" location="'Evidence'!A16"/>
    <hyperlink ref="J26" display="E21" location="'Evidence'!A26"/>
    <hyperlink ref="K26" display="E02" location="'Evidence'!A7"/>
    <hyperlink ref="J27" display="E01" location="'Evidence'!A6"/>
    <hyperlink ref="K27" display="E02" location="'Evidence'!A7"/>
    <hyperlink ref="J28" display="E01" location="'Evidence'!A6"/>
    <hyperlink ref="K28" display="E15" location="'Evidence'!A20"/>
    <hyperlink ref="J29" display="E01" location="'Evidence'!A6"/>
    <hyperlink ref="K29" display="E15" location="'Evidence'!A20"/>
    <hyperlink ref="J30" display="E01" location="'Evidence'!A6"/>
    <hyperlink ref="K30" display="E15" location="'Evidence'!A20"/>
    <hyperlink ref="J31" display="E01" location="'Evidence'!A6"/>
    <hyperlink ref="K31" display="E02" location="'Evidence'!A7"/>
    <hyperlink ref="J32" display="E01" location="'Evidence'!A6"/>
    <hyperlink ref="K32" display="E15" location="'Evidence'!A20"/>
    <hyperlink ref="J33" display="E01" location="'Evidence'!A6"/>
    <hyperlink ref="K33" display="E15" location="'Evidence'!A20"/>
    <hyperlink ref="J34" display="E01" location="'Evidence'!A6"/>
    <hyperlink ref="K34" display="E02" location="'Evidence'!A7"/>
    <hyperlink ref="J35" display="E01" location="'Evidence'!A6"/>
    <hyperlink ref="K35" display="E02" location="'Evidence'!A7"/>
    <hyperlink ref="J36" display="E01" location="'Evidence'!A6"/>
    <hyperlink ref="K36" display="E02" location="'Evidence'!A7"/>
    <hyperlink ref="J37" display="E01" location="'Evidence'!A6"/>
    <hyperlink ref="K37" display="E15" location="'Evidence'!A20"/>
    <hyperlink ref="J38" display="E16" location="'Evidence'!A21"/>
    <hyperlink ref="K38" display="E22" location="'Evidence'!A27"/>
  </hyperlinks>
  <pageMargins left="0.7" right="0.7" top="0.75" bottom="0.75" header="0.3" footer="0.3"/>
  <tableParts count="1">
    <tablePart r:id="Ra3cbad022a4f41ff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13C58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31" hidden="0" customWidth="1"/>
    <col min="2" max="2" width="45" hidden="0" customWidth="1"/>
    <col min="3" max="3" width="46" hidden="0" customWidth="1"/>
    <col min="4" max="4" width="43" hidden="0" customWidth="1"/>
    <col min="5" max="5" width="25" hidden="0" customWidth="1"/>
    <col min="6" max="6" width="62" hidden="0" customWidth="1"/>
    <col min="7" max="7" width="62" hidden="0" customWidth="1"/>
    <col min="8" max="8" width="16" hidden="0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</row>
    <row r="2" ht="29" customHeight="1">
      <c r="A2" s="3" t="str">
        <v>Validation and platform boundaries</v>
      </c>
      <c r="B2" s="2"/>
      <c r="C2" s="2"/>
      <c r="D2" s="2"/>
      <c r="E2" s="2"/>
      <c r="F2" s="2"/>
      <c r="G2" s="2"/>
      <c r="H2" s="2"/>
    </row>
    <row r="3" ht="12" customHeight="1">
      <c r="A3" s="4"/>
      <c r="B3" s="4"/>
      <c r="C3" s="4"/>
      <c r="D3" s="4"/>
      <c r="E3" s="4"/>
      <c r="F3" s="4"/>
      <c r="G3" s="4"/>
      <c r="H3" s="4"/>
    </row>
    <row r="4" ht="30" customHeight="1">
      <c r="A4" s="5" t="str">
        <v>Results remain attached to their exact source. Pending runs are fixed at the stated report cutoff.</v>
      </c>
      <c r="B4" s="2"/>
      <c r="C4" s="2"/>
      <c r="D4" s="2"/>
      <c r="E4" s="2"/>
      <c r="F4" s="2"/>
      <c r="G4" s="2"/>
      <c r="H4" s="2"/>
    </row>
    <row r="5" ht="36" customHeight="1">
      <c r="A5" s="10" t="str">
        <v>Area</v>
      </c>
      <c r="B5" s="10" t="str">
        <v>Source</v>
      </c>
      <c r="C5" s="10" t="str">
        <v>Platform / environment</v>
      </c>
      <c r="D5" s="10" t="str">
        <v>Validation layer</v>
      </c>
      <c r="E5" s="10" t="str">
        <v>Status</v>
      </c>
      <c r="F5" s="10" t="str">
        <v>Evidence / result</v>
      </c>
      <c r="G5" s="10" t="str">
        <v>Limit / next gate</v>
      </c>
      <c r="H5" s="10" t="str">
        <v>Evidence</v>
      </c>
    </row>
    <row r="6" ht="72" customHeight="1">
      <c r="A6" s="11" t="str">
        <v>Current foundation</v>
      </c>
      <c r="B6" s="11" t="str">
        <v>34de5291eb067aa8387a5a0032e3a038534f1ab0</v>
      </c>
      <c r="C6" s="11" t="str">
        <v>macOS 14 / Ubuntu 24.04 / Windows Server 2022</v>
      </c>
      <c r="D6" s="11" t="str">
        <v>Swift + Rust focused native tests</v>
      </c>
      <c r="E6" s="11" t="str">
        <v>Pending</v>
      </c>
      <c r="F6" s="11" t="str">
        <v>Run 39076722839 dispatched; fixed cutoff has no completed result.</v>
      </c>
      <c r="G6" s="11" t="str">
        <v>No GUI/package/install/radio conclusion.</v>
      </c>
      <c r="H6" s="12" t="str">
        <v>E19</v>
      </c>
    </row>
    <row r="7" ht="72" customHeight="1">
      <c r="A7" s="11" t="str">
        <v>ARRL DX activation</v>
      </c>
      <c r="B7" s="11" t="str">
        <v>d764479a028760704990c803650dea653cb3ea39</v>
      </c>
      <c r="C7" s="11" t="str">
        <v>macOS 14 / Ubuntu 24.04 / Windows Server 2022</v>
      </c>
      <c r="D7" s="11" t="str">
        <v>Swift + Rust focused native tests</v>
      </c>
      <c r="E7" s="11" t="str">
        <v>Pending</v>
      </c>
      <c r="F7" s="11" t="str">
        <v>Run 39076611158 in progress at cutoff.</v>
      </c>
      <c r="G7" s="11" t="str">
        <v>Identical product bytes integrated at snapshot; pending result remains pending.</v>
      </c>
      <c r="H7" s="12" t="str">
        <v>E18</v>
      </c>
    </row>
    <row r="8" ht="72" customHeight="1">
      <c r="A8" s="11" t="str">
        <v>Earlier export foundation</v>
      </c>
      <c r="B8" s="11" t="str">
        <v>e7aa2ce94f82bd387feac9801ccf92b531b02a11</v>
      </c>
      <c r="C8" s="11" t="str">
        <v>macOS 14 / Ubuntu 24.04 / Windows Server 2022</v>
      </c>
      <c r="D8" s="11" t="str">
        <v>Swift + Rust focused native tests</v>
      </c>
      <c r="E8" s="11" t="str">
        <v>Pass at recorded source</v>
      </c>
      <c r="F8" s="11" t="str">
        <v>Run 39075090079: all six native jobs passed.</v>
      </c>
      <c r="G8" s="11" t="str">
        <v>Exact historical source only. No packaged UI or current-source inheritance.</v>
      </c>
      <c r="H8" s="12" t="str">
        <v>E17</v>
      </c>
    </row>
    <row r="9" ht="72" customHeight="1">
      <c r="A9" s="11" t="str">
        <v>Clean CQ WW/WPX operator + SCP</v>
      </c>
      <c r="B9" s="11" t="str">
        <v>98db98b0a12e43f02afd71bf4dd84cdba5b6fe1c</v>
      </c>
      <c r="C9" s="11" t="str">
        <v>Local macOS headless UI / isolated real worker</v>
      </c>
      <c r="D9" s="11" t="str">
        <v>Eight CW/SSB Run/S&amp;P sessions + separate SCP run</v>
      </c>
      <c r="E9" s="11" t="str">
        <v>Pass at recorded source</v>
      </c>
      <c r="F9" s="11" t="str">
        <v>25 commits, 16 reservations, 16 exports; SCP 115 + 6 frames and 2 exports.</v>
      </c>
      <c r="G9" s="11" t="str">
        <v>No all-family, native chooser, package, hardware or current-source full rerun.</v>
      </c>
      <c r="H9" s="12" t="str">
        <v>E11</v>
      </c>
    </row>
    <row r="10" ht="72" customHeight="1">
      <c r="A10" s="11" t="str">
        <v>SCP core latency</v>
      </c>
      <c r="B10" s="11" t="str">
        <v>1b54a850c27247b081868a0a50084e5727b71ea2</v>
      </c>
      <c r="C10" s="11" t="str">
        <v>arm64 macOS 27.0.1 / Swift 6.4</v>
      </c>
      <c r="D10" s="11" t="str">
        <v>Local release-build core query</v>
      </c>
      <c r="E10" s="11" t="str">
        <v>Measured</v>
      </c>
      <c r="F10" s="11" t="str">
        <v>50,003 and 100,000 record cases fit 50 ms core-query budget.</v>
      </c>
      <c r="G10" s="11" t="str">
        <v>No worker/renderer/typing or Windows/Linux latency proof.</v>
      </c>
      <c r="H10" s="12" t="str">
        <v>E13</v>
      </c>
    </row>
    <row r="11" ht="72" customHeight="1">
      <c r="A11" s="11" t="str">
        <v>NAQP operator candidate</v>
      </c>
      <c r="B11" s="11" t="str">
        <v>Dirty codex/contest-naqp-operator</v>
      </c>
      <c r="C11" s="11" t="str">
        <v>Local macOS development host</v>
      </c>
      <c r="D11" s="11" t="str">
        <v>Blank CQ/call-first and duplicate behavior</v>
      </c>
      <c r="E11" s="11" t="str">
        <v>Changes required</v>
      </c>
      <c r="F11" s="11" t="str">
        <v>Run 33 reveals call-only known duplicate unchecked. Dev34 first case 6 contacts/score 30 then later navigation timeout.</v>
      </c>
      <c r="G11" s="11" t="str">
        <v>No full operator acceptance. Candidate source not integrated in report snapshot.</v>
      </c>
      <c r="H11" s="12" t="str">
        <v>E01</v>
      </c>
    </row>
    <row r="12" ht="72" customHeight="1">
      <c r="A12" s="11" t="str">
        <v>Call-history phase 1 accepted branch</v>
      </c>
      <c r="B12" s="11" t="str">
        <v>719165a5ebba670a93a9e6e288acbd95e284c48d</v>
      </c>
      <c r="C12" s="11" t="str">
        <v>Local native + portable-manifest tests</v>
      </c>
      <c r="D12" s="11" t="str">
        <v>Core parsing / persistence admission</v>
      </c>
      <c r="E12" s="11" t="str">
        <v>Separate branch only</v>
      </c>
      <c r="F12" s="11" t="str">
        <v>Astra-reviewed/pushed; 20 native / 44 portable supplied; root independently passes 17 history tests including large UTF-8 reopen.</v>
      </c>
      <c r="G12" s="11" t="str">
        <v>Not integrated in foundation. No picker, worker, UI, selection or draft prefill.</v>
      </c>
      <c r="H12" s="12" t="str">
        <v>E14</v>
      </c>
    </row>
    <row r="13" ht="72" customHeight="1">
      <c r="A13" s="11" t="str">
        <v>Exclusive module integration</v>
      </c>
      <c r="B13" s="11" t="str">
        <v>Installed 1.2.18 / e741010453b9026be55ba0f657cc5aa188dd28d6</v>
      </c>
      <c r="C13" s="11" t="str">
        <v>Canonical application</v>
      </c>
      <c r="D13" s="11" t="str">
        <v>Normal Logging / Contesting module choice</v>
      </c>
      <c r="E13" s="11" t="str">
        <v>On hold</v>
      </c>
      <c r="F13" s="11" t="str">
        <v>Main chat runtime hold; accepted baseline must be resolved explicitly.</v>
      </c>
      <c r="G13" s="11" t="str">
        <v>Contract exists. No canonical merge/package/install in this programme.</v>
      </c>
      <c r="H13" s="12" t="str">
        <v>E15</v>
      </c>
    </row>
    <row r="14" ht="72" customHeight="1">
      <c r="A14" s="11" t="str">
        <v>Packaged contest application</v>
      </c>
      <c r="B14" s="11" t="str">
        <v>No accepted contest release</v>
      </c>
      <c r="C14" s="11" t="str">
        <v>macOS / Windows / Linux</v>
      </c>
      <c r="D14" s="11" t="str">
        <v>Install, chooser/save dialog, windows, worker identity and runtime</v>
      </c>
      <c r="E14" s="11" t="str">
        <v>Open</v>
      </c>
      <c r="F14" s="11" t="str">
        <v>No three-OS packaged contest acceptance recorded.</v>
      </c>
      <c r="G14" s="11" t="str">
        <v>Native test jobs and source compilation do not close this gate.</v>
      </c>
      <c r="H14" s="12" t="str">
        <v>E16</v>
      </c>
    </row>
    <row r="15" ht="72" customHeight="1">
      <c r="A15" s="11" t="str">
        <v>Radio / CW / voice / digital hardware</v>
      </c>
      <c r="B15" s="11" t="str">
        <v>Station I/O disabled</v>
      </c>
      <c r="C15" s="11" t="str">
        <v>All target platforms/providers/devices</v>
      </c>
      <c r="D15" s="11" t="str">
        <v>Observed send/stop/PTT/frequency/mode and hardware timing</v>
      </c>
      <c r="E15" s="11" t="str">
        <v>Open</v>
      </c>
      <c r="F15" s="11" t="str">
        <v>Synthetic operator acceptance keeps external output disabled.</v>
      </c>
      <c r="G15" s="11" t="str">
        <v>No RF, audio, keyer, CAT, rotor or digital-device proof.</v>
      </c>
      <c r="H15" s="12" t="str">
        <v>E20</v>
      </c>
    </row>
    <row r="16" ht="72" customHeight="1">
      <c r="A16" s="11" t="str">
        <v>Sponsor submission readiness</v>
      </c>
      <c r="B16" s="11" t="str">
        <v>Per-family rule authority only</v>
      </c>
      <c r="C16" s="11" t="str">
        <v>All contests</v>
      </c>
      <c r="D16" s="11" t="str">
        <v>Current category/date/time/header/rule and upload acceptance</v>
      </c>
      <c r="E16" s="11" t="str">
        <v>Open</v>
      </c>
      <c r="F16" s="11" t="str">
        <v>Official authority is pinned for corrected families; source-derived pilots remain comparators.</v>
      </c>
      <c r="G16" s="11" t="str">
        <v>Rule tests do not constitute sponsor certification or submission approval.</v>
      </c>
      <c r="H16" s="12" t="str">
        <v>E02</v>
      </c>
    </row>
  </sheetData>
  <conditionalFormatting sqref="E6:E16">
    <cfRule type="containsText" dxfId="12" priority="1" operator="containsText" text="Pending"/>
    <cfRule type="containsText" dxfId="13" priority="2" operator="containsText" text="Partial"/>
    <cfRule type="containsText" dxfId="14" priority="3" operator="containsText" text="Open"/>
    <cfRule type="containsText" dxfId="15" priority="4" operator="containsText" text="Changes required"/>
    <cfRule type="containsText" dxfId="16" priority="5" operator="containsText" text="Candidate"/>
    <cfRule type="containsText" dxfId="17" priority="6" operator="containsText" text="Active preview"/>
  </conditionalFormatting>
  <hyperlinks>
    <hyperlink ref="H6" display="E19" location="'Evidence'!A24"/>
    <hyperlink ref="H7" display="E18" location="'Evidence'!A23"/>
    <hyperlink ref="H8" display="E17" location="'Evidence'!A22"/>
    <hyperlink ref="H9" display="E11" location="'Evidence'!A16"/>
    <hyperlink ref="H10" display="E13" location="'Evidence'!A18"/>
    <hyperlink ref="H11" display="E01" location="'Evidence'!A6"/>
    <hyperlink ref="H12" display="E14" location="'Evidence'!A19"/>
    <hyperlink ref="H13" display="E15" location="'Evidence'!A20"/>
    <hyperlink ref="H14" display="E16" location="'Evidence'!A21"/>
    <hyperlink ref="H15" display="E20" location="'Evidence'!A25"/>
    <hyperlink ref="H16" display="E02" location="'Evidence'!A7"/>
  </hyperlinks>
  <pageMargins left="0.7" right="0.7" top="0.75" bottom="0.75" header="0.3" footer="0.3"/>
  <tableParts count="1">
    <tablePart r:id="R20787324f05b4438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13C58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9" hidden="0" customWidth="1"/>
    <col min="2" max="2" width="18" hidden="0" customWidth="1"/>
    <col min="3" max="3" width="29" hidden="0" customWidth="1"/>
    <col min="4" max="4" width="67" hidden="0" customWidth="1"/>
    <col min="5" max="5" width="75" hidden="0" customWidth="1"/>
    <col min="6" max="6" width="16" hidden="0" customWidth="1"/>
  </cols>
  <sheetData>
    <row r="1" ht="14" customHeight="1">
      <c r="A1" s="2"/>
      <c r="B1" s="2"/>
      <c r="C1" s="2"/>
      <c r="D1" s="2"/>
      <c r="E1" s="2"/>
      <c r="F1" s="2"/>
    </row>
    <row r="2" ht="29" customHeight="1">
      <c r="A2" s="3" t="str">
        <v>Remaining work and next gates</v>
      </c>
      <c r="B2" s="2"/>
      <c r="C2" s="2"/>
      <c r="D2" s="2"/>
      <c r="E2" s="2"/>
      <c r="F2" s="2"/>
    </row>
    <row r="3" ht="12" customHeight="1">
      <c r="A3" s="4"/>
      <c r="B3" s="4"/>
      <c r="C3" s="4"/>
      <c r="D3" s="4"/>
      <c r="E3" s="4"/>
      <c r="F3" s="4"/>
    </row>
    <row r="4" ht="30" customHeight="1">
      <c r="A4" s="5" t="str">
        <v>Ordered work reflects current dependencies. The 94-plugin and 33-feature programme remains open.</v>
      </c>
      <c r="B4" s="2"/>
      <c r="C4" s="2"/>
      <c r="D4" s="2"/>
      <c r="E4" s="2"/>
      <c r="F4" s="2"/>
    </row>
    <row r="5" ht="36" customHeight="1">
      <c r="A5" s="10" t="str">
        <v>ID</v>
      </c>
      <c r="B5" s="10" t="str">
        <v>Order</v>
      </c>
      <c r="C5" s="10" t="str">
        <v>Workstream</v>
      </c>
      <c r="D5" s="10" t="str">
        <v>Next action</v>
      </c>
      <c r="E5" s="10" t="str">
        <v>Acceptance needed</v>
      </c>
      <c r="F5" s="10" t="str">
        <v>Evidence</v>
      </c>
    </row>
    <row r="6" ht="72" customHeight="1">
      <c r="A6" s="11" t="str">
        <v>N01</v>
      </c>
      <c r="B6" s="11" t="str">
        <v>Immediate</v>
      </c>
      <c r="C6" s="11" t="str">
        <v>NAQP operator</v>
      </c>
      <c r="D6" s="11" t="str">
        <v>Finish authoritative partial-draft duplicate repair and exact blank CQ/call-first flows in both modes.</v>
      </c>
      <c r="E6" s="11" t="str">
        <v>Review candidate, commit/push and fresh clean coupled runs including correction/delete/restart/export.</v>
      </c>
      <c r="F6" s="12" t="str">
        <v>E01</v>
      </c>
    </row>
    <row r="7" ht="72" customHeight="1">
      <c r="A7" s="11" t="str">
        <v>N02</v>
      </c>
      <c r="B7" s="11" t="str">
        <v>Immediate</v>
      </c>
      <c r="C7" s="11" t="str">
        <v>Call-history F18</v>
      </c>
      <c r="D7" s="11" t="str">
        <v>Integrate accepted phase-1 core/service 719165a with 16 MiB admission before hash and bounded reopen envelope.</v>
      </c>
      <c r="E7" s="11" t="str">
        <v>Preserve 20 native/44 portable and independent 17-test evidence, then native picker, worker/client/UI, explicit selection and blank-only draft application.</v>
      </c>
      <c r="F7" s="12" t="str">
        <v>E14</v>
      </c>
    </row>
    <row r="8" ht="72" customHeight="1">
      <c r="A8" s="11" t="str">
        <v>N03</v>
      </c>
      <c r="B8" s="11" t="str">
        <v>Immediate</v>
      </c>
      <c r="C8" s="11" t="str">
        <v>ARRL DX / ledger</v>
      </c>
      <c r="D8" s="11" t="str">
        <v>Ledger reconciliation is complete at c342808 and integrated docs checkpoint 3a5864e. Record current activation matrix result.</v>
      </c>
      <c r="E8" s="11" t="str">
        <v>94 rows /16 previews /78 pending and 29 negative checks passed. Retain precise mode/role and final operator boundaries.</v>
      </c>
      <c r="F8" s="12" t="str">
        <v>E10</v>
      </c>
    </row>
    <row r="9" ht="72" customHeight="1">
      <c r="A9" s="11" t="str">
        <v>N04</v>
      </c>
      <c r="B9" s="11" t="str">
        <v>Next</v>
      </c>
      <c r="C9" s="11" t="str">
        <v>ARRL DX operator</v>
      </c>
      <c r="D9" s="11" t="str">
        <v>Audit and implement CW/SSB Run/S&amp;P for both scoring sides.</v>
      </c>
      <c r="E9" s="11" t="str">
        <v>Coupled browser-to-worker operator test with independent arithmetic/export parsing; no simulated-RF inference.</v>
      </c>
      <c r="F9" s="12" t="str">
        <v>E10</v>
      </c>
    </row>
    <row r="10" ht="72" customHeight="1">
      <c r="A10" s="11" t="str">
        <v>N05</v>
      </c>
      <c r="B10" s="11" t="str">
        <v>Next</v>
      </c>
      <c r="C10" s="11" t="str">
        <v>Active-family acceptance</v>
      </c>
      <c r="D10" s="11" t="str">
        <v>Extend clean operator acceptance to Oceania, SAC, JIDX, ARRL RTTY and NAQP RTTY.</v>
      </c>
      <c r="E10" s="11" t="str">
        <v>Rule-specific station roles, modes, duplicates, correction/deletion/restart and outputs.</v>
      </c>
      <c r="F10" s="12" t="str">
        <v>E02</v>
      </c>
    </row>
    <row r="11" ht="72" customHeight="1">
      <c r="A11" s="11" t="str">
        <v>N06</v>
      </c>
      <c r="B11" s="11" t="str">
        <v>Next</v>
      </c>
      <c r="C11" s="11" t="str">
        <v>Remaining 78 plugins</v>
      </c>
      <c r="D11" s="11" t="str">
        <v>Port bounded rule-family packs with explicit digital/VHF/general-purpose dispositions.</v>
      </c>
      <c r="E11" s="11" t="str">
        <v>Each plugin: authority and source-gap audit, independent score, complete lifecycle/export/assistance/operator cases.</v>
      </c>
      <c r="F11" s="12" t="str">
        <v>E02</v>
      </c>
    </row>
    <row r="12" ht="72" customHeight="1">
      <c r="A12" s="11" t="str">
        <v>N07</v>
      </c>
      <c r="B12" s="11" t="str">
        <v>Dependency</v>
      </c>
      <c r="C12" s="11" t="str">
        <v>Main integration</v>
      </c>
      <c r="D12" s="11" t="str">
        <v>Wait for runtime-accepted installed baseline, then implement exclusive module choice with one station owner.</v>
      </c>
      <c r="E12" s="11" t="str">
        <v>Both drafts/recovery preserved; stale queued/debounced spots and detached/native owners retired.</v>
      </c>
      <c r="F12" s="12" t="str">
        <v>E15</v>
      </c>
    </row>
    <row r="13" ht="72" customHeight="1">
      <c r="A13" s="11" t="str">
        <v>N08</v>
      </c>
      <c r="B13" s="11" t="str">
        <v>Programme</v>
      </c>
      <c r="C13" s="11" t="str">
        <v>Output / migration</v>
      </c>
      <c r="D13" s="11" t="str">
        <v>Complete ADIF import/round-trip, three EDI families and read-only Not1MM logs/settings migration.</v>
      </c>
      <c r="E13" s="11" t="str">
        <v>Reconciliation, provenance/unknown fields, all-family format goldens and sponsor requirements.</v>
      </c>
      <c r="F13" s="12" t="str">
        <v>E21</v>
      </c>
    </row>
    <row r="14" ht="72" customHeight="1">
      <c r="A14" s="11" t="str">
        <v>N09</v>
      </c>
      <c r="B14" s="11" t="str">
        <v>Programme</v>
      </c>
      <c r="C14" s="11" t="str">
        <v>Network / devices / assistance</v>
      </c>
      <c r="D14" s="11" t="str">
        <v>Complete CAT/flrig/rotor/WSJT-X/FLDIGI/CW/voice/VFO/reporters/UDP/Multi-Multi and provider-update paths.</v>
      </c>
      <c r="E14" s="11" t="str">
        <v>Wire, receiver, multi-host and actual supported device/provider acceptance.</v>
      </c>
      <c r="F14" s="12" t="str">
        <v>E01</v>
      </c>
    </row>
    <row r="15" ht="72" customHeight="1">
      <c r="A15" s="11" t="str">
        <v>N10</v>
      </c>
      <c r="B15" s="11" t="str">
        <v>Release</v>
      </c>
      <c r="C15" s="11" t="str">
        <v>Three-platform release</v>
      </c>
      <c r="D15" s="11" t="str">
        <v>Package/install only from accepted canonical source after integration and source/test gates.</v>
      </c>
      <c r="E15" s="11" t="str">
        <v>macOS/Windows/Linux clean install, worker identity, real dialogs, native window/runtime and operator acceptance; exact build provenance.</v>
      </c>
      <c r="F15" s="12" t="str">
        <v>E16</v>
      </c>
    </row>
  </sheetData>
  <hyperlinks>
    <hyperlink ref="F6" display="E01" location="'Evidence'!A6"/>
    <hyperlink ref="F7" display="E14" location="'Evidence'!A19"/>
    <hyperlink ref="F8" display="E10" location="'Evidence'!A15"/>
    <hyperlink ref="F9" display="E10" location="'Evidence'!A15"/>
    <hyperlink ref="F10" display="E02" location="'Evidence'!A7"/>
    <hyperlink ref="F11" display="E02" location="'Evidence'!A7"/>
    <hyperlink ref="F12" display="E15" location="'Evidence'!A20"/>
    <hyperlink ref="F13" display="E21" location="'Evidence'!A26"/>
    <hyperlink ref="F14" display="E01" location="'Evidence'!A6"/>
    <hyperlink ref="F15" display="E16" location="'Evidence'!A21"/>
  </hyperlinks>
  <pageMargins left="0.7" right="0.7" top="0.75" bottom="0.75" header="0.3" footer="0.3"/>
  <tableParts count="1">
    <tablePart r:id="Rd541274cfc804e95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A8795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9" hidden="0" customWidth="1"/>
    <col min="2" max="2" width="33" hidden="0" customWidth="1"/>
    <col min="3" max="3" width="47" hidden="0" customWidth="1"/>
    <col min="4" max="4" width="59" hidden="0" customWidth="1"/>
    <col min="5" max="5" width="78" hidden="0" customWidth="1"/>
    <col min="6" max="6" width="78" hidden="0" customWidth="1"/>
    <col min="7" max="7" width="63" hidden="0" customWidth="1"/>
  </cols>
  <sheetData>
    <row r="1" ht="14" customHeight="1">
      <c r="A1" s="2"/>
      <c r="B1" s="2"/>
      <c r="C1" s="2"/>
      <c r="D1" s="2"/>
      <c r="E1" s="2"/>
      <c r="F1" s="2"/>
      <c r="G1" s="2"/>
    </row>
    <row r="2" ht="29" customHeight="1">
      <c r="A2" s="3" t="str">
        <v>Evidence and source register</v>
      </c>
      <c r="B2" s="2"/>
      <c r="C2" s="2"/>
      <c r="D2" s="2"/>
      <c r="E2" s="2"/>
      <c r="F2" s="2"/>
      <c r="G2" s="2"/>
    </row>
    <row r="3" ht="12" customHeight="1">
      <c r="A3" s="4"/>
      <c r="B3" s="4"/>
      <c r="C3" s="4"/>
      <c r="D3" s="4"/>
      <c r="E3" s="4"/>
      <c r="F3" s="4"/>
      <c r="G3" s="4"/>
    </row>
    <row r="4" ht="30" customHeight="1">
      <c r="A4" s="5" t="str">
        <v>Snapshot 18/10/2026, 08:29:17 Australia/Darwin (2026-10-17T22:59:17.469Z UTC). Sources and status are fixed to the recorded commits.</v>
      </c>
      <c r="B4" s="2"/>
      <c r="C4" s="2"/>
      <c r="D4" s="2"/>
      <c r="E4" s="2"/>
      <c r="F4" s="2"/>
      <c r="G4" s="2"/>
    </row>
    <row r="5" ht="36" customHeight="1">
      <c r="A5" s="10" t="str">
        <v>ID</v>
      </c>
      <c r="B5" s="10" t="str">
        <v>Area</v>
      </c>
      <c r="C5" s="10" t="str">
        <v>Exact source / reference</v>
      </c>
      <c r="D5" s="10" t="str">
        <v>Source link</v>
      </c>
      <c r="E5" s="10" t="str">
        <v>What it supports</v>
      </c>
      <c r="F5" s="10" t="str">
        <v>Evidence boundary</v>
      </c>
      <c r="G5" s="10" t="str">
        <v>Repository path / run URL</v>
      </c>
    </row>
    <row r="6" ht="72" customHeight="1">
      <c r="A6" s="11" t="str">
        <v>E01</v>
      </c>
      <c r="B6" s="11" t="str">
        <v>Programme / feature scope</v>
      </c>
      <c r="C6" s="11" t="str">
        <v>34de5291eb067aa8387a5a0032e3a038534f1ab0</v>
      </c>
      <c r="D6" s="11" t="str">
        <v>E01 source</v>
      </c>
      <c r="E6" s="11" t="str">
        <v>Documentation checkpoint 3a5864e contains updated plan/ledger and exact F01–F33 scope. Historical paragraphs and Appendix A retain superseded statuses.</v>
      </c>
      <c r="F6" s="11" t="str">
        <v>Snapshot reconciles current registry to 16; no full-port claim.</v>
      </c>
      <c r="G6" s="11" t="str">
        <v>docs/CONTESTING_PORT_PROJECT_PLAN_2026-10-17.md</v>
      </c>
    </row>
    <row r="7" ht="72" customHeight="1">
      <c r="A7" s="11" t="str">
        <v>E02</v>
      </c>
      <c r="B7" s="11" t="str">
        <v>Pinned 94-plugin inventory</v>
      </c>
      <c r="C7" s="11" t="str">
        <v>7c8b499225a73f7f8f792246881bd7aefc05452f</v>
      </c>
      <c r="D7" s="11" t="str">
        <v>E02 source</v>
      </c>
      <c r="E7" s="11" t="str">
        <v>94 IDs, source display names, modes, exchange hints, duplicate policies, per-file hashes and acceptance dispositions.</v>
      </c>
      <c r="F7" s="11" t="str">
        <v>Ledger update c342808 is integrated at documentation checkpoint 3a5864e; 16 previews, 78 pending, 29 negative checks.</v>
      </c>
      <c r="G7" s="11" t="str">
        <v>docs/contesting/contest-acceptance-ledger.json</v>
      </c>
    </row>
    <row r="8" ht="72" customHeight="1">
      <c r="A8" s="11" t="str">
        <v>E03</v>
      </c>
      <c r="B8" s="11" t="str">
        <v>Active worker catalog</v>
      </c>
      <c r="C8" s="11" t="str">
        <v>34de5291eb067aa8387a5a0032e3a038534f1ab0</v>
      </c>
      <c r="D8" s="11" t="str">
        <v>E03 source</v>
      </c>
      <c r="E8" s="11" t="str">
        <v>16 actual rule registrations, including ARRL DX CW and SSB.</v>
      </c>
      <c r="F8" s="11" t="str">
        <v>Registration is activation only.</v>
      </c>
      <c r="G8" s="11" t="str">
        <v>Sources/XLogPrototypeSupport/Contesting/ContestLane.swift</v>
      </c>
    </row>
    <row r="9" ht="72" customHeight="1">
      <c r="A9" s="11" t="str">
        <v>E04</v>
      </c>
      <c r="B9" s="11" t="str">
        <v>CQ WW / WPX rules and outputs</v>
      </c>
      <c r="C9" s="11" t="str">
        <v>34de5291eb067aa8387a5a0032e3a038534f1ab0</v>
      </c>
      <c r="D9" s="11" t="str">
        <v>E04 source</v>
      </c>
      <c r="E9" s="11" t="str">
        <v>Source-derived rule, immutable identity, checked score and duplicate contract. See ledger for exact test sources.</v>
      </c>
      <c r="F9" s="11" t="str">
        <v>Pinned-source compatibility is separate from current sponsor eligibility.</v>
      </c>
      <c r="G9" s="11" t="str">
        <v>docs/contesting/CORE_CONTRACT.md</v>
      </c>
    </row>
    <row r="10" ht="72" customHeight="1">
      <c r="A10" s="11" t="str">
        <v>E05</v>
      </c>
      <c r="B10" s="11" t="str">
        <v>Oceania DX CW / SSB</v>
      </c>
      <c r="C10" s="11" t="str">
        <v>34de5291eb067aa8387a5a0032e3a038534f1ab0</v>
      </c>
      <c r="D10" s="11" t="str">
        <v>E05 source</v>
      </c>
      <c r="E10" s="11" t="str">
        <v>Source-derived core/store/worker/client/UI and export evidence.</v>
      </c>
      <c r="F10" s="11" t="str">
        <v>Plain logging. Full operator and sponsor gates open.</v>
      </c>
      <c r="G10" s="11" t="str">
        <v>docs/contesting/OCEANIA_RULE_CONTRACT.md</v>
      </c>
    </row>
    <row r="11" ht="72" customHeight="1">
      <c r="A11" s="11" t="str">
        <v>E06</v>
      </c>
      <c r="B11" s="11" t="str">
        <v>SAC CW / SSB</v>
      </c>
      <c r="C11" s="11" t="str">
        <v>34de5291eb067aa8387a5a0032e3a038534f1ab0</v>
      </c>
      <c r="D11" s="11" t="str">
        <v>E06 source</v>
      </c>
      <c r="E11" s="11" t="str">
        <v>Official SAC 2026 rules correct identified pinned-Python defects.</v>
      </c>
      <c r="F11" s="11" t="str">
        <v>Practice scoring preview. Categories/date/submission gates open.</v>
      </c>
      <c r="G11" s="11" t="str">
        <v>docs/contesting/SAC_RULE_CONTRACT.md</v>
      </c>
    </row>
    <row r="12" ht="72" customHeight="1">
      <c r="A12" s="11" t="str">
        <v>E07</v>
      </c>
      <c r="B12" s="11" t="str">
        <v>NAQP CW / SSB / RTTY</v>
      </c>
      <c r="C12" s="11" t="str">
        <v>34de5291eb067aa8387a5a0032e3a038534f1ab0</v>
      </c>
      <c r="D12" s="11" t="str">
        <v>E07 source</v>
      </c>
      <c r="E12" s="11" t="str">
        <v>Official NCJ 2026 authority, report-free structured name/location, no serial reservation, score and export checks.</v>
      </c>
      <c r="F12" s="11" t="str">
        <v>Run/S&amp;P call-first duplicate repair remains candidate work.</v>
      </c>
      <c r="G12" s="11" t="str">
        <v>docs/contesting/NAQP_RULE_CONTRACT.md</v>
      </c>
    </row>
    <row r="13" ht="72" customHeight="1">
      <c r="A13" s="11" t="str">
        <v>E08</v>
      </c>
      <c r="B13" s="11" t="str">
        <v>ARRL RTTY Roundup</v>
      </c>
      <c r="C13" s="11" t="str">
        <v>34de5291eb067aa8387a5a0032e3a038534f1ab0</v>
      </c>
      <c r="D13" s="11" t="str">
        <v>E08 source</v>
      </c>
      <c r="E13" s="11" t="str">
        <v>Official Rules v3.0b, current section/DXCC authority, W/VE vs DX exchange/serial policy and versioned outputs.</v>
      </c>
      <c r="F13" s="11" t="str">
        <v>Plain logging. No real RTTY generation/keying acceptance.</v>
      </c>
      <c r="G13" s="11" t="str">
        <v>docs/contesting/ARRL_RTTY_ROUNDUP_CONTRACT.md</v>
      </c>
    </row>
    <row r="14" ht="72" customHeight="1">
      <c r="A14" s="11" t="str">
        <v>E09</v>
      </c>
      <c r="B14" s="11" t="str">
        <v>JIDX CW / SSB</v>
      </c>
      <c r="C14" s="11" t="str">
        <v>34de5291eb067aa8387a5a0032e3a038534f1ab0</v>
      </c>
      <c r="D14" s="11" t="str">
        <v>E09 source</v>
      </c>
      <c r="E14" s="11" t="str">
        <v>Official 2026-10 authority, directional role/multipliers and raw/normalized exchange preservation.</v>
      </c>
      <c r="F14" s="11" t="str">
        <v>Worker lifecycle depth differs by mode/role. No full operator/category/submission acceptance.</v>
      </c>
      <c r="G14" s="11" t="str">
        <v>docs/contesting/JIDX_CONTRACT.md</v>
      </c>
    </row>
    <row r="15" ht="72" customHeight="1">
      <c r="A15" s="11" t="str">
        <v>E10</v>
      </c>
      <c r="B15" s="11" t="str">
        <v>ARRL DX CW / SSB</v>
      </c>
      <c r="C15" s="11" t="str">
        <v>34de5291eb067aa8387a5a0032e3a038534f1ab0</v>
      </c>
      <c r="D15" s="11" t="str">
        <v>E10 source</v>
      </c>
      <c r="E15" s="11" t="str">
        <v>Reviewed activation d764479a028760704990c803650dea653cb3ea39 integrated with identical product/test/fixture/workflow bytes. Four mode/role worker lifecycles, five fixture-client tests, 57 targeted frontend tests and build reported.</v>
      </c>
      <c r="F15" s="11" t="str">
        <v>24 frozen-file review. Strengthened forged correction reaches stored-QSO immutability. Native matrix pending at snapshot.</v>
      </c>
      <c r="G15" s="11" t="str">
        <v>docs/CONTESTING_PORT_PROJECT_PLAN_2026-10-17.md</v>
      </c>
    </row>
    <row r="16" ht="72" customHeight="1">
      <c r="A16" s="11" t="str">
        <v>E11</v>
      </c>
      <c r="B16" s="11" t="str">
        <v>Clean combined operator checkpoint</v>
      </c>
      <c r="C16" s="11" t="str">
        <v>98db98b0a12e43f02afd71bf4dd84cdba5b6fe1c</v>
      </c>
      <c r="D16" s="11" t="str">
        <v>E11 source</v>
      </c>
      <c r="E16" s="11" t="str">
        <v>CQ WW/WPX CW/SSB × Run/S&amp;P = 8 sessions. 25 commits, 16 reservations, 16 independently parsed exports. SCP run: 115 ordinary + 6 lifecycle frames, 2 exports.</v>
      </c>
      <c r="F16" s="11" t="str">
        <v>Historical clean source. Headless production UI + isolated worker, test-owned picker. No current-source/full-family/package/RF inference.</v>
      </c>
      <c r="G16" s="11" t="str">
        <v>docs/contesting/COMBINED_OPERATOR_ACCEPTANCE_CHECKPOINT_98db98b.md</v>
      </c>
    </row>
    <row r="17" ht="72" customHeight="1">
      <c r="A17" s="11" t="str">
        <v>E12</v>
      </c>
      <c r="B17" s="11" t="str">
        <v>SCP architecture / import</v>
      </c>
      <c r="C17" s="11" t="str">
        <v>34de5291eb067aa8387a5a0032e3a038534f1ab0</v>
      </c>
      <c r="D17" s="11" t="str">
        <v>E12 source</v>
      </c>
      <c r="E17" s="11" t="str">
        <v>Offline bounded ranking, immutable dataset, private chooser seam, atomic cache replacement, explicit selection and stale-context guards.</v>
      </c>
      <c r="F17" s="11" t="str">
        <v>Mounted external-generation discovery, provider updates, native chooser and package acceptance open.</v>
      </c>
      <c r="G17" s="11" t="str">
        <v>docs/contesting/SCP_WORKER_CONTRACT.md</v>
      </c>
    </row>
    <row r="18" ht="72" customHeight="1">
      <c r="A18" s="11" t="str">
        <v>E13</v>
      </c>
      <c r="B18" s="11" t="str">
        <v>SCP local release latency</v>
      </c>
      <c r="C18" s="11" t="str">
        <v>34de5291eb067aa8387a5a0032e3a038534f1ab0</v>
      </c>
      <c r="D18" s="11" t="str">
        <v>E13 source</v>
      </c>
      <c r="E18" s="11" t="str">
        <v>50,003-record MASTER.SCP exact/partial/no-match p95 1.82/2.18/1.75 ms; 100,000 synthetic 8.11/3.02/5.79 ms.</v>
      </c>
      <c r="F18" s="11" t="str">
        <v>Local macOS core queries only. Not end-to-end renderer/worker or Linux/Windows timing.</v>
      </c>
      <c r="G18" s="11" t="str">
        <v>docs/contesting/SCP_LATENCY_EVIDENCE.md</v>
      </c>
    </row>
    <row r="19" ht="72" customHeight="1">
      <c r="A19" s="11" t="str">
        <v>E14</v>
      </c>
      <c r="B19" s="11" t="str">
        <v>Call-history audited contract</v>
      </c>
      <c r="C19" s="11" t="str">
        <v>34de5291eb067aa8387a5a0032e3a038534f1ab0</v>
      </c>
      <c r="D19" s="11" t="str">
        <v>E14 source</v>
      </c>
      <c r="E19" s="11" t="str">
        <v>60 plugins with active history behavior, 119 active functions and 12 result keys. Source has no history export/generator route.</v>
      </c>
      <c r="F19" s="11" t="str">
        <v>Phase 1 core/service 719165a is reviewed/pushed separately and not integrated in foundation. Picker, worker, UI, explicit selection and blank-only draft application open.</v>
      </c>
      <c r="G19" s="11" t="str">
        <v>docs/contesting/CALL_HISTORY_CONTRACT.md</v>
      </c>
    </row>
    <row r="20" ht="72" customHeight="1">
      <c r="A20" s="11" t="str">
        <v>E15</v>
      </c>
      <c r="B20" s="11" t="str">
        <v>Exclusive module choice</v>
      </c>
      <c r="C20" s="11" t="str">
        <v>34de5291eb067aa8387a5a0032e3a038534f1ab0</v>
      </c>
      <c r="D20" s="11" t="str">
        <v>E15 source</v>
      </c>
      <c r="E20" s="11" t="str">
        <v>Normal Logging / Contesting exclusive owner, retained drafts/recovery and retired windows/queued spot actions.</v>
      </c>
      <c r="F20" s="11" t="str">
        <v>Contract only. Main installed 1.2.18 / e741010 remains on runtime hold.</v>
      </c>
      <c r="G20" s="11" t="str">
        <v>docs/contesting/MODULE_SELECTION_CONTRACT.md</v>
      </c>
    </row>
    <row r="21" ht="72" customHeight="1">
      <c r="A21" s="11" t="str">
        <v>E16</v>
      </c>
      <c r="B21" s="11" t="str">
        <v>Three-OS test contract</v>
      </c>
      <c r="C21" s="11" t="str">
        <v>34de5291eb067aa8387a5a0032e3a038534f1ab0</v>
      </c>
      <c r="D21" s="11" t="str">
        <v>E16 source</v>
      </c>
      <c r="E21" s="11" t="str">
        <v>Focused native Swift portable-manifest and Rust injected-save tests on macOS 14, Ubuntu 24.04 and Windows Server 2022.</v>
      </c>
      <c r="F21" s="11" t="str">
        <v>Compile/test evidence is distinct from native GUI, package, install or hardware evidence.</v>
      </c>
      <c r="G21" s="11" t="str">
        <v>docs/contesting/PLATFORM_VALIDATION.md</v>
      </c>
    </row>
    <row r="22" ht="72" customHeight="1">
      <c r="A22" s="11" t="str">
        <v>E17</v>
      </c>
      <c r="B22" s="11" t="str">
        <v>Export foundation native result</v>
      </c>
      <c r="C22" s="11" t="str">
        <v>e7aa2ce94f82bd387feac9801ccf92b531b02a11</v>
      </c>
      <c r="D22" s="11" t="str">
        <v>E17 source</v>
      </c>
      <c r="E22" s="11" t="str">
        <v>All 6 Swift/Rust jobs pass on macOS/Linux/Windows, reported and archived in the plan.</v>
      </c>
      <c r="F22" s="11" t="str">
        <v>Exact prior export foundation, not current activation source.</v>
      </c>
      <c r="G22" s="11" t="str">
        <v>https://github.com/oliverbross/OM0RX-xLog/actions/runs/39075090079</v>
      </c>
    </row>
    <row r="23" ht="72" customHeight="1">
      <c r="A23" s="11" t="str">
        <v>E18</v>
      </c>
      <c r="B23" s="11" t="str">
        <v>ARRL DX activation native run</v>
      </c>
      <c r="C23" s="11" t="str">
        <v>d764479a028760704990c803650dea653cb3ea39</v>
      </c>
      <c r="D23" s="11" t="str">
        <v>E18 source</v>
      </c>
      <c r="E23" s="11" t="str">
        <v>Run in progress at report cutoff.</v>
      </c>
      <c r="F23" s="11" t="str">
        <v>No final six-job acceptance claimed.</v>
      </c>
      <c r="G23" s="11" t="str">
        <v>https://github.com/oliverbross/OM0RX-xLog/actions/runs/39076611158</v>
      </c>
    </row>
    <row r="24" ht="72" customHeight="1">
      <c r="A24" s="11" t="str">
        <v>E19</v>
      </c>
      <c r="B24" s="11" t="str">
        <v>Snapshot foundation native run</v>
      </c>
      <c r="C24" s="11" t="str">
        <v>34de5291eb067aa8387a5a0032e3a038534f1ab0</v>
      </c>
      <c r="D24" s="11" t="str">
        <v>E19 source</v>
      </c>
      <c r="E24" s="11" t="str">
        <v>Dispatched for current integrated source. Pending at report cutoff.</v>
      </c>
      <c r="F24" s="11" t="str">
        <v>No current-source platform conclusion inferred.</v>
      </c>
      <c r="G24" s="11" t="str">
        <v>https://github.com/oliverbross/OM0RX-xLog/actions/runs/39076722839</v>
      </c>
    </row>
    <row r="25" ht="72" customHeight="1">
      <c r="A25" s="11" t="str">
        <v>E20</v>
      </c>
      <c r="B25" s="11" t="str">
        <v>Operator intent contract</v>
      </c>
      <c r="C25" s="11" t="str">
        <v>34de5291eb067aa8387a5a0032e3a038534f1ab0</v>
      </c>
      <c r="D25" s="11" t="str">
        <v>E20 source</v>
      </c>
      <c r="E25" s="11" t="str">
        <v>Armed simulation sequences use authoritative mutation owner and durable receipt recovery. CW/voice output is simulated.</v>
      </c>
      <c r="F25" s="11" t="str">
        <v>Four CQ pilot profiles only in integrated accepted operator scope.</v>
      </c>
      <c r="G25" s="11" t="str">
        <v>docs/contesting/OPERATOR_FLOW_CONTRACT.md</v>
      </c>
    </row>
    <row r="26" ht="72" customHeight="1">
      <c r="A26" s="11" t="str">
        <v>E21</v>
      </c>
      <c r="B26" s="11" t="str">
        <v>Versioned export boundary</v>
      </c>
      <c r="C26" s="11" t="str">
        <v>34de5291eb067aa8387a5a0032e3a038534f1ab0</v>
      </c>
      <c r="D26" s="11" t="str">
        <v>E21 source</v>
      </c>
      <c r="E26" s="11" t="str">
        <v>Versioned Cabrillo plus contest ADIF mappings; scoped prepare/save/recovery/no-clobber infrastructure.</v>
      </c>
      <c r="F26" s="11" t="str">
        <v>ADIF import and full round-trip parity, EDI, sponsor submission and native dialog acceptance remain open.</v>
      </c>
      <c r="G26" s="11" t="str">
        <v>docs/contesting/EXPORT_FORMAT_CONTRACT.md</v>
      </c>
    </row>
    <row r="27" ht="72" customHeight="1">
      <c r="A27" s="11" t="str">
        <v>E22</v>
      </c>
      <c r="B27" s="11" t="str">
        <v>Native isolated acceptance boundary</v>
      </c>
      <c r="C27" s="11" t="str">
        <v>34de5291eb067aa8387a5a0032e3a038534f1ab0</v>
      </c>
      <c r="D27" s="11" t="str">
        <v>E22 source</v>
      </c>
      <c r="E27" s="11" t="str">
        <v>Synthetic private contest profile and station-I/O-disabled acceptance host.</v>
      </c>
      <c r="F27" s="11" t="str">
        <v>Worktree compilation is allowed. Packaging/install only from canonical accepted source.</v>
      </c>
      <c r="G27" s="11" t="str">
        <v>docs/contesting/ISOLATED_TEST_APP.md</v>
      </c>
    </row>
  </sheetData>
  <hyperlinks>
    <hyperlink ref="D6" display="E01 source" r:id="rIdReportLink1"/>
    <hyperlink ref="D7" display="E02 source" r:id="rIdReportLink2"/>
    <hyperlink ref="D8" display="E03 source" r:id="rIdReportLink3"/>
    <hyperlink ref="D9" display="E04 source" r:id="rIdReportLink4"/>
    <hyperlink ref="D10" display="E05 source" r:id="rIdReportLink5"/>
    <hyperlink ref="D11" display="E06 source" r:id="rIdReportLink6"/>
    <hyperlink ref="D12" display="E07 source" r:id="rIdReportLink7"/>
    <hyperlink ref="D13" display="E08 source" r:id="rIdReportLink8"/>
    <hyperlink ref="D14" display="E09 source" r:id="rIdReportLink9"/>
    <hyperlink ref="D15" display="E10 source" r:id="rIdReportLink10"/>
    <hyperlink ref="D16" display="E11 source" r:id="rIdReportLink11"/>
    <hyperlink ref="D17" display="E12 source" r:id="rIdReportLink12"/>
    <hyperlink ref="D18" display="E13 source" r:id="rIdReportLink13"/>
    <hyperlink ref="D19" display="E14 source" r:id="rIdReportLink14"/>
    <hyperlink ref="D20" display="E15 source" r:id="rIdReportLink15"/>
    <hyperlink ref="D21" display="E16 source" r:id="rIdReportLink16"/>
    <hyperlink ref="D22" display="E17 source" r:id="rIdReportLink17"/>
    <hyperlink ref="D23" display="E18 source" r:id="rIdReportLink18"/>
    <hyperlink ref="D24" display="E19 source" r:id="rIdReportLink19"/>
    <hyperlink ref="D25" display="E20 source" r:id="rIdReportLink20"/>
    <hyperlink ref="D26" display="E21 source" r:id="rIdReportLink21"/>
    <hyperlink ref="D27" display="E22 source" r:id="rIdReportLink22"/>
  </hyperlinks>
  <pageMargins left="0.7" right="0.7" top="0.75" bottom="0.75" header="0.3" footer="0.3"/>
  <tableParts count="1">
    <tablePart r:id="Ra762f0cca5b94ced"/>
  </tableParts>
</worksheet>
</file>